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ReportsBI\Obszar testowy\Awaryjność\"/>
    </mc:Choice>
  </mc:AlternateContent>
  <xr:revisionPtr revIDLastSave="0" documentId="13_ncr:1_{99FC7A11-F9EA-41AF-A12F-FD7092598FA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źródła danych" sheetId="8" r:id="rId1"/>
    <sheet name="awarie" sheetId="1" r:id="rId2"/>
    <sheet name="dane źródłowe" sheetId="2" r:id="rId3"/>
    <sheet name="sprzedaż" sheetId="5" r:id="rId4"/>
    <sheet name="AGBP-09NXD0-I" sheetId="6" r:id="rId5"/>
    <sheet name="PCB w BLANC PRO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6" l="1"/>
  <c r="Y3" i="6"/>
  <c r="Y2" i="6"/>
  <c r="Z2" i="6" s="1"/>
  <c r="X2" i="6"/>
  <c r="T2" i="6" a="1"/>
  <c r="T2" i="6" s="1"/>
  <c r="R2" i="6"/>
  <c r="Q2" i="6"/>
  <c r="P2" i="6"/>
  <c r="W2" i="6"/>
  <c r="Y14" i="6"/>
  <c r="R5" i="6"/>
  <c r="Q5" i="6"/>
  <c r="P5" i="6"/>
  <c r="H2" i="5"/>
  <c r="G2" i="5"/>
  <c r="X3" i="6"/>
  <c r="X4" i="6"/>
  <c r="X5" i="6"/>
  <c r="X6" i="6"/>
  <c r="X7" i="6"/>
  <c r="X8" i="6"/>
  <c r="X9" i="6"/>
  <c r="X10" i="6"/>
  <c r="X11" i="6"/>
  <c r="X12" i="6"/>
  <c r="X14" i="6"/>
  <c r="X15" i="6"/>
  <c r="X16" i="6"/>
  <c r="X17" i="6"/>
  <c r="X18" i="6"/>
  <c r="X19" i="6"/>
  <c r="X20" i="6"/>
  <c r="X23" i="6"/>
  <c r="X24" i="6"/>
  <c r="X25" i="6"/>
  <c r="X26" i="6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2" i="7"/>
  <c r="P3" i="7"/>
  <c r="R3" i="7" s="1"/>
  <c r="P4" i="7"/>
  <c r="R4" i="7" s="1"/>
  <c r="P5" i="7"/>
  <c r="R5" i="7" s="1"/>
  <c r="P6" i="7"/>
  <c r="R6" i="7" s="1"/>
  <c r="P7" i="7"/>
  <c r="R7" i="7" s="1"/>
  <c r="P8" i="7"/>
  <c r="R8" i="7" s="1"/>
  <c r="P9" i="7"/>
  <c r="R9" i="7" s="1"/>
  <c r="P10" i="7"/>
  <c r="R10" i="7" s="1"/>
  <c r="P11" i="7"/>
  <c r="R11" i="7" s="1"/>
  <c r="P12" i="7"/>
  <c r="R12" i="7" s="1"/>
  <c r="P13" i="7"/>
  <c r="R13" i="7" s="1"/>
  <c r="P14" i="7"/>
  <c r="R14" i="7" s="1"/>
  <c r="P15" i="7"/>
  <c r="R15" i="7" s="1"/>
  <c r="P16" i="7"/>
  <c r="R16" i="7" s="1"/>
  <c r="P17" i="7"/>
  <c r="R17" i="7" s="1"/>
  <c r="P18" i="7"/>
  <c r="R18" i="7" s="1"/>
  <c r="P19" i="7"/>
  <c r="R19" i="7" s="1"/>
  <c r="P20" i="7"/>
  <c r="R20" i="7" s="1"/>
  <c r="P21" i="7"/>
  <c r="R21" i="7" s="1"/>
  <c r="P22" i="7"/>
  <c r="R22" i="7" s="1"/>
  <c r="P23" i="7"/>
  <c r="R23" i="7" s="1"/>
  <c r="P24" i="7"/>
  <c r="R24" i="7" s="1"/>
  <c r="P25" i="7"/>
  <c r="R25" i="7" s="1"/>
  <c r="P26" i="7"/>
  <c r="R26" i="7" s="1"/>
  <c r="P27" i="7"/>
  <c r="R27" i="7" s="1"/>
  <c r="P28" i="7"/>
  <c r="R28" i="7" s="1"/>
  <c r="P29" i="7"/>
  <c r="R29" i="7" s="1"/>
  <c r="P30" i="7"/>
  <c r="R30" i="7" s="1"/>
  <c r="P31" i="7"/>
  <c r="R31" i="7" s="1"/>
  <c r="P32" i="7"/>
  <c r="R32" i="7" s="1"/>
  <c r="P33" i="7"/>
  <c r="R33" i="7" s="1"/>
  <c r="P34" i="7"/>
  <c r="R34" i="7" s="1"/>
  <c r="P35" i="7"/>
  <c r="R35" i="7" s="1"/>
  <c r="P36" i="7"/>
  <c r="R36" i="7" s="1"/>
  <c r="P37" i="7"/>
  <c r="R37" i="7" s="1"/>
  <c r="P2" i="7"/>
  <c r="R2" i="7" s="1"/>
  <c r="W3" i="6"/>
  <c r="W4" i="6"/>
  <c r="W5" i="6"/>
  <c r="W6" i="6"/>
  <c r="Y6" i="6" s="1"/>
  <c r="W7" i="6"/>
  <c r="W8" i="6"/>
  <c r="W9" i="6"/>
  <c r="Y9" i="6" s="1"/>
  <c r="W10" i="6"/>
  <c r="Y10" i="6" s="1"/>
  <c r="W11" i="6"/>
  <c r="Y11" i="6" s="1"/>
  <c r="W12" i="6"/>
  <c r="Y12" i="6" s="1"/>
  <c r="W14" i="6"/>
  <c r="W15" i="6"/>
  <c r="Y15" i="6" s="1"/>
  <c r="W16" i="6"/>
  <c r="Y16" i="6" s="1"/>
  <c r="W17" i="6"/>
  <c r="Y17" i="6" s="1"/>
  <c r="W18" i="6"/>
  <c r="Y18" i="6" s="1"/>
  <c r="W19" i="6"/>
  <c r="Y19" i="6" s="1"/>
  <c r="W20" i="6"/>
  <c r="Y20" i="6" s="1"/>
  <c r="W23" i="6"/>
  <c r="W24" i="6"/>
  <c r="Y24" i="6" s="1"/>
  <c r="W25" i="6"/>
  <c r="Y25" i="6" s="1"/>
  <c r="W26" i="6"/>
  <c r="Q3" i="6"/>
  <c r="Q4" i="6"/>
  <c r="Q6" i="6"/>
  <c r="Q7" i="6"/>
  <c r="Q8" i="6"/>
  <c r="Q9" i="6"/>
  <c r="Q10" i="6"/>
  <c r="Q11" i="6"/>
  <c r="Q12" i="6"/>
  <c r="Q13" i="6"/>
  <c r="Q17" i="6"/>
  <c r="Q16" i="6"/>
  <c r="Q18" i="6"/>
  <c r="Q15" i="6"/>
  <c r="Q14" i="6"/>
  <c r="Q19" i="6"/>
  <c r="Q20" i="6"/>
  <c r="Q21" i="6"/>
  <c r="Q22" i="6"/>
  <c r="Q23" i="6"/>
  <c r="Q24" i="6"/>
  <c r="Q25" i="6"/>
  <c r="Q26" i="6"/>
  <c r="P24" i="6"/>
  <c r="R24" i="6" s="1"/>
  <c r="P25" i="6"/>
  <c r="R25" i="6" s="1"/>
  <c r="P26" i="6"/>
  <c r="R26" i="6" s="1"/>
  <c r="P23" i="6"/>
  <c r="R23" i="6" s="1"/>
  <c r="P22" i="6"/>
  <c r="R22" i="6" s="1"/>
  <c r="P21" i="6"/>
  <c r="R21" i="6" s="1"/>
  <c r="P16" i="6"/>
  <c r="R16" i="6" s="1"/>
  <c r="P18" i="6"/>
  <c r="R18" i="6" s="1"/>
  <c r="P15" i="6"/>
  <c r="R15" i="6" s="1"/>
  <c r="P14" i="6"/>
  <c r="R14" i="6" s="1"/>
  <c r="P19" i="6"/>
  <c r="R19" i="6" s="1"/>
  <c r="P20" i="6"/>
  <c r="R20" i="6" s="1"/>
  <c r="P17" i="6"/>
  <c r="R17" i="6" s="1"/>
  <c r="P13" i="6"/>
  <c r="R13" i="6" s="1"/>
  <c r="P3" i="6"/>
  <c r="R3" i="6" s="1"/>
  <c r="P4" i="6"/>
  <c r="R4" i="6" s="1"/>
  <c r="P6" i="6"/>
  <c r="R6" i="6" s="1"/>
  <c r="P7" i="6"/>
  <c r="R7" i="6" s="1"/>
  <c r="P8" i="6"/>
  <c r="R8" i="6" s="1"/>
  <c r="P9" i="6"/>
  <c r="R9" i="6" s="1"/>
  <c r="P10" i="6"/>
  <c r="R10" i="6" s="1"/>
  <c r="P11" i="6"/>
  <c r="R11" i="6" s="1"/>
  <c r="P12" i="6"/>
  <c r="R12" i="6" s="1"/>
  <c r="H3" i="5"/>
  <c r="H4" i="5"/>
  <c r="H5" i="5"/>
  <c r="H6" i="5"/>
  <c r="H7" i="5"/>
  <c r="H8" i="5"/>
  <c r="H9" i="5"/>
  <c r="H10" i="5"/>
  <c r="H11" i="5"/>
  <c r="H12" i="5"/>
  <c r="H13" i="5"/>
  <c r="G3" i="5"/>
  <c r="G4" i="5"/>
  <c r="G5" i="5"/>
  <c r="G6" i="5"/>
  <c r="G7" i="5"/>
  <c r="G8" i="5"/>
  <c r="G9" i="5"/>
  <c r="G10" i="5"/>
  <c r="G11" i="5"/>
  <c r="G12" i="5"/>
  <c r="G13" i="5"/>
  <c r="E14" i="5"/>
  <c r="F14" i="5"/>
  <c r="C14" i="5"/>
  <c r="D14" i="5"/>
  <c r="B14" i="5"/>
  <c r="C3" i="1"/>
  <c r="C4" i="1"/>
  <c r="C5" i="1"/>
  <c r="C6" i="1"/>
  <c r="C69" i="1"/>
  <c r="C7" i="1"/>
  <c r="C14" i="1"/>
  <c r="C80" i="1"/>
  <c r="C54" i="1"/>
  <c r="C18" i="1"/>
  <c r="C13" i="1"/>
  <c r="C15" i="1"/>
  <c r="C9" i="1"/>
  <c r="C8" i="1"/>
  <c r="C17" i="1"/>
  <c r="C10" i="1"/>
  <c r="C19" i="1"/>
  <c r="C26" i="1"/>
  <c r="C22" i="1"/>
  <c r="C70" i="1"/>
  <c r="C28" i="1"/>
  <c r="C61" i="1"/>
  <c r="C32" i="1"/>
  <c r="C79" i="1"/>
  <c r="C23" i="1"/>
  <c r="C73" i="1"/>
  <c r="C36" i="1"/>
  <c r="C43" i="1"/>
  <c r="C47" i="1"/>
  <c r="C51" i="1"/>
  <c r="C50" i="1"/>
  <c r="C45" i="1"/>
  <c r="C29" i="1"/>
  <c r="C33" i="1"/>
  <c r="C11" i="1"/>
  <c r="C44" i="1"/>
  <c r="C16" i="1"/>
  <c r="C57" i="1"/>
  <c r="C34" i="1"/>
  <c r="C35" i="1"/>
  <c r="C38" i="1"/>
  <c r="C39" i="1"/>
  <c r="C56" i="1"/>
  <c r="C46" i="1"/>
  <c r="C30" i="1"/>
  <c r="C40" i="1"/>
  <c r="C20" i="1"/>
  <c r="C55" i="1"/>
  <c r="C53" i="1"/>
  <c r="C21" i="1"/>
  <c r="C25" i="1"/>
  <c r="C48" i="1"/>
  <c r="C49" i="1"/>
  <c r="C52" i="1"/>
  <c r="C37" i="1"/>
  <c r="C58" i="1"/>
  <c r="C60" i="1"/>
  <c r="C74" i="1"/>
  <c r="C62" i="1"/>
  <c r="C63" i="1"/>
  <c r="C64" i="1"/>
  <c r="C65" i="1"/>
  <c r="C66" i="1"/>
  <c r="C67" i="1"/>
  <c r="C68" i="1"/>
  <c r="C27" i="1"/>
  <c r="C59" i="1"/>
  <c r="C12" i="1"/>
  <c r="C75" i="1"/>
  <c r="C24" i="1"/>
  <c r="C31" i="1"/>
  <c r="C72" i="1"/>
  <c r="C71" i="1"/>
  <c r="C77" i="1"/>
  <c r="C78" i="1"/>
  <c r="C76" i="1"/>
  <c r="C41" i="1"/>
  <c r="C42" i="1"/>
  <c r="C81" i="1"/>
  <c r="C83" i="1"/>
  <c r="C86" i="1"/>
  <c r="C84" i="1"/>
  <c r="C85" i="1"/>
  <c r="C88" i="1"/>
  <c r="C87" i="1"/>
  <c r="C95" i="1"/>
  <c r="C96" i="1"/>
  <c r="C94" i="1"/>
  <c r="C93" i="1"/>
  <c r="C92" i="1"/>
  <c r="C91" i="1"/>
  <c r="C90" i="1"/>
  <c r="C89" i="1"/>
  <c r="C82" i="1"/>
  <c r="C2" i="1"/>
  <c r="V2" i="6" l="1" a="1"/>
  <c r="V2" i="6" s="1"/>
  <c r="I3" i="5"/>
  <c r="I2" i="5"/>
  <c r="W2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4" i="7"/>
  <c r="W3" i="7"/>
  <c r="V13" i="6" a="1"/>
  <c r="V13" i="6" s="1"/>
  <c r="T13" i="6" a="1"/>
  <c r="T13" i="6" s="1"/>
  <c r="V3" i="6" a="1"/>
  <c r="V3" i="6" s="1"/>
  <c r="V4" i="6" a="1"/>
  <c r="V4" i="6" s="1"/>
  <c r="V5" i="6" a="1"/>
  <c r="V5" i="6" s="1"/>
  <c r="V6" i="6" a="1"/>
  <c r="V6" i="6" s="1"/>
  <c r="V7" i="6" a="1"/>
  <c r="V7" i="6" s="1"/>
  <c r="V8" i="6" a="1"/>
  <c r="V8" i="6" s="1"/>
  <c r="V9" i="6" a="1"/>
  <c r="V9" i="6" s="1"/>
  <c r="V10" i="6" a="1"/>
  <c r="V10" i="6" s="1"/>
  <c r="V11" i="6" a="1"/>
  <c r="V11" i="6" s="1"/>
  <c r="V12" i="6" a="1"/>
  <c r="V12" i="6" s="1"/>
  <c r="V14" i="6" a="1"/>
  <c r="V14" i="6" s="1"/>
  <c r="V15" i="6" a="1"/>
  <c r="V15" i="6" s="1"/>
  <c r="V16" i="6" a="1"/>
  <c r="V16" i="6" s="1"/>
  <c r="V17" i="6" a="1"/>
  <c r="V17" i="6" s="1"/>
  <c r="V18" i="6" a="1"/>
  <c r="V18" i="6" s="1"/>
  <c r="V19" i="6" a="1"/>
  <c r="V19" i="6" s="1"/>
  <c r="V20" i="6" a="1"/>
  <c r="V20" i="6" s="1"/>
  <c r="V21" i="6" a="1"/>
  <c r="V21" i="6" s="1"/>
  <c r="V22" i="6" a="1"/>
  <c r="V22" i="6" s="1"/>
  <c r="V23" i="6" a="1"/>
  <c r="V23" i="6" s="1"/>
  <c r="V24" i="6" a="1"/>
  <c r="V24" i="6" s="1"/>
  <c r="V25" i="6" a="1"/>
  <c r="V25" i="6" s="1"/>
  <c r="V26" i="6" a="1"/>
  <c r="V26" i="6" s="1"/>
  <c r="T3" i="6" a="1"/>
  <c r="T3" i="6" s="1"/>
  <c r="T4" i="6" a="1"/>
  <c r="T4" i="6" s="1"/>
  <c r="T5" i="6" a="1"/>
  <c r="T5" i="6" s="1"/>
  <c r="T6" i="6" a="1"/>
  <c r="T6" i="6" s="1"/>
  <c r="T7" i="6" a="1"/>
  <c r="T7" i="6" s="1"/>
  <c r="T8" i="6" a="1"/>
  <c r="T8" i="6" s="1"/>
  <c r="T9" i="6" a="1"/>
  <c r="T9" i="6" s="1"/>
  <c r="T10" i="6" a="1"/>
  <c r="T10" i="6" s="1"/>
  <c r="T11" i="6" a="1"/>
  <c r="T11" i="6" s="1"/>
  <c r="T12" i="6" a="1"/>
  <c r="T12" i="6" s="1"/>
  <c r="T14" i="6" a="1"/>
  <c r="T14" i="6" s="1"/>
  <c r="T15" i="6" a="1"/>
  <c r="T15" i="6" s="1"/>
  <c r="T16" i="6" a="1"/>
  <c r="T16" i="6" s="1"/>
  <c r="T17" i="6" a="1"/>
  <c r="T17" i="6" s="1"/>
  <c r="T18" i="6" a="1"/>
  <c r="T18" i="6" s="1"/>
  <c r="T19" i="6" a="1"/>
  <c r="T19" i="6" s="1"/>
  <c r="T20" i="6" a="1"/>
  <c r="T20" i="6" s="1"/>
  <c r="T21" i="6" a="1"/>
  <c r="T21" i="6" s="1"/>
  <c r="T22" i="6" a="1"/>
  <c r="T22" i="6" s="1"/>
  <c r="T23" i="6" a="1"/>
  <c r="T23" i="6" s="1"/>
  <c r="T24" i="6" a="1"/>
  <c r="T24" i="6" s="1"/>
  <c r="T25" i="6" a="1"/>
  <c r="T25" i="6" s="1"/>
  <c r="T26" i="6" a="1"/>
  <c r="T26" i="6" s="1"/>
  <c r="Y26" i="6"/>
  <c r="Y23" i="6"/>
  <c r="Z23" i="6" s="1"/>
  <c r="Y8" i="6"/>
  <c r="Y7" i="6"/>
  <c r="Y5" i="6"/>
  <c r="Y4" i="6"/>
  <c r="I12" i="5"/>
  <c r="I11" i="5"/>
  <c r="I9" i="5"/>
  <c r="I13" i="5"/>
  <c r="I5" i="5"/>
  <c r="I10" i="5"/>
  <c r="I8" i="5"/>
  <c r="I7" i="5"/>
  <c r="I6" i="5"/>
  <c r="I4" i="5"/>
  <c r="G14" i="5"/>
  <c r="H14" i="5"/>
  <c r="I14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<sst xmlns="http://schemas.openxmlformats.org/spreadsheetml/2006/main" count="1888" uniqueCount="550">
  <si>
    <t>Dane dot. awaryjności</t>
  </si>
  <si>
    <t>z listy Zapisy księgi serwisu</t>
  </si>
  <si>
    <t>Zakres danych pozyskanych z listy j.w:</t>
  </si>
  <si>
    <t>Rodzaj informacji</t>
  </si>
  <si>
    <t>Nazwa kolumny w BC</t>
  </si>
  <si>
    <t>Data awarii D(a)</t>
  </si>
  <si>
    <t>Data księgowania</t>
  </si>
  <si>
    <t>Posting date</t>
  </si>
  <si>
    <t>Model urządzenia M</t>
  </si>
  <si>
    <t>Nr zapasu (serwisowany)</t>
  </si>
  <si>
    <t>Item No. (Serviced)</t>
  </si>
  <si>
    <t>Nr seryjny SN</t>
  </si>
  <si>
    <t>Nr seryjny (serwisowany)</t>
  </si>
  <si>
    <t>Serial No. (Serviced)</t>
  </si>
  <si>
    <t>Base Group A - Serviced</t>
  </si>
  <si>
    <t>Base Group B- Serviced</t>
  </si>
  <si>
    <t>Nr C</t>
  </si>
  <si>
    <t>Nr</t>
  </si>
  <si>
    <t>No</t>
  </si>
  <si>
    <t>Base GroupA</t>
  </si>
  <si>
    <t>Base GroupB Cn</t>
  </si>
  <si>
    <t>Base GroupB</t>
  </si>
  <si>
    <t>Bierzemy pod uwagę tylko dane "Typ zapisu"=Zużycie</t>
  </si>
  <si>
    <t>Dane dot. daty sprzedaży S/N</t>
  </si>
  <si>
    <r>
      <t>z listy</t>
    </r>
    <r>
      <rPr>
        <i/>
        <sz val="11"/>
        <rFont val="Aptos Narrow"/>
        <family val="2"/>
        <scheme val="minor"/>
      </rPr>
      <t xml:space="preserve"> Zapisy księgi zapasów</t>
    </r>
  </si>
  <si>
    <t>Typ zapisu=Sprzedaż</t>
  </si>
  <si>
    <t>Data sprzedaży D(s)</t>
  </si>
  <si>
    <t>Data sprzedaży przypisana do danych dot. awaryjności po S/N</t>
  </si>
  <si>
    <t>FILTRY W RAPORCIE</t>
  </si>
  <si>
    <t>Czas do awarii Ti</t>
  </si>
  <si>
    <t>Nr zlecenia serwisowego</t>
  </si>
  <si>
    <t>Nr nabywcy</t>
  </si>
  <si>
    <t>Nr dokumentu</t>
  </si>
  <si>
    <t>Nr przedm. serwisu (serwisow.)</t>
  </si>
  <si>
    <t>Koszt jednostkowy</t>
  </si>
  <si>
    <t>Ilość</t>
  </si>
  <si>
    <t>ZG/Z/25/06/102</t>
  </si>
  <si>
    <t>N/05907</t>
  </si>
  <si>
    <t>WZ/SER/25/07/023</t>
  </si>
  <si>
    <t>PS221233560</t>
  </si>
  <si>
    <t>MI/AGBP-09NXD0-I</t>
  </si>
  <si>
    <t>541F677890125070810072</t>
  </si>
  <si>
    <t>3.RAC_136</t>
  </si>
  <si>
    <t>WEWNETRZNA_154</t>
  </si>
  <si>
    <t>PRD062565944</t>
  </si>
  <si>
    <t>8.CZESCI_332</t>
  </si>
  <si>
    <t>BLACHA MONTAZOWA_333</t>
  </si>
  <si>
    <t>ZGW/2023/11/071</t>
  </si>
  <si>
    <t>N/06251</t>
  </si>
  <si>
    <t>WZ/SER/23/12/121</t>
  </si>
  <si>
    <t>PS220704728</t>
  </si>
  <si>
    <t>341F647980123240810326</t>
  </si>
  <si>
    <t>MI/SK105</t>
  </si>
  <si>
    <t>G1.AKCESORIA_440</t>
  </si>
  <si>
    <t>MODUL_WIFI_498</t>
  </si>
  <si>
    <t>ZGW/2023/12/063</t>
  </si>
  <si>
    <t>N/06220</t>
  </si>
  <si>
    <t>WZ/SER/23/12/190</t>
  </si>
  <si>
    <t>PS221239839</t>
  </si>
  <si>
    <t>541F677890125070810519</t>
  </si>
  <si>
    <t>ZG/Z/24/05/024</t>
  </si>
  <si>
    <t>N/06889</t>
  </si>
  <si>
    <t>WZ/SER/24/05/031</t>
  </si>
  <si>
    <t>PS221212267</t>
  </si>
  <si>
    <t>MI/AGBP-12NXD0-IH</t>
  </si>
  <si>
    <t>541F678410125100870148</t>
  </si>
  <si>
    <t>ZG/Z/24/07/003</t>
  </si>
  <si>
    <t>N/03715</t>
  </si>
  <si>
    <t>WZ/SER/24/07/016</t>
  </si>
  <si>
    <t>PS221218956</t>
  </si>
  <si>
    <t>MI/AGBP-18NXD0-I</t>
  </si>
  <si>
    <t>541H852310133170810010</t>
  </si>
  <si>
    <t>M/17222000A58718</t>
  </si>
  <si>
    <t>MULTIFUNCTION BOARD_455</t>
  </si>
  <si>
    <t>ZGW/2023/04/029</t>
  </si>
  <si>
    <t>N/06595</t>
  </si>
  <si>
    <t>WZ/SER/23/04/116</t>
  </si>
  <si>
    <t>PS221211236</t>
  </si>
  <si>
    <t>541F678650124180810047</t>
  </si>
  <si>
    <t>M/12222000000018</t>
  </si>
  <si>
    <t>OBUDOWA_357</t>
  </si>
  <si>
    <t>ZG/Z/24/08/002</t>
  </si>
  <si>
    <t>N/08034</t>
  </si>
  <si>
    <t>WZ/SER/24/11/046</t>
  </si>
  <si>
    <t>PS240703736</t>
  </si>
  <si>
    <t>MI/AGBPW-12NXD0-IH</t>
  </si>
  <si>
    <t>541K488620136090810024</t>
  </si>
  <si>
    <t>M/12122000A83563</t>
  </si>
  <si>
    <t>PS240703737</t>
  </si>
  <si>
    <t>541K488620136090810015</t>
  </si>
  <si>
    <t>ZG/Z/24/06/101</t>
  </si>
  <si>
    <t>N/07690</t>
  </si>
  <si>
    <t>WZ/SER/24/07/011</t>
  </si>
  <si>
    <t>PS240600640</t>
  </si>
  <si>
    <t>MI/AGBPW-18NXD0-IH</t>
  </si>
  <si>
    <t>541K465730338220860012</t>
  </si>
  <si>
    <t>ZGW/2023/06/130</t>
  </si>
  <si>
    <t>N/06617</t>
  </si>
  <si>
    <t>WZ/SER/23/07/070</t>
  </si>
  <si>
    <t>PS221221306</t>
  </si>
  <si>
    <t>MI/AGBP-12NXD0-I</t>
  </si>
  <si>
    <t>541F678410125100871215</t>
  </si>
  <si>
    <t>M/12122000025633</t>
  </si>
  <si>
    <t>ZGW/2023/07/069</t>
  </si>
  <si>
    <t>N/05184</t>
  </si>
  <si>
    <t>WZ/SER/23/08/164</t>
  </si>
  <si>
    <t>PS221210449</t>
  </si>
  <si>
    <t>541F678410125100870328</t>
  </si>
  <si>
    <t>M/12122000024721</t>
  </si>
  <si>
    <t>ZG/Z/24/12/040</t>
  </si>
  <si>
    <t>N/06634</t>
  </si>
  <si>
    <t>WZ/SER/25/01/008</t>
  </si>
  <si>
    <t>PS240603945</t>
  </si>
  <si>
    <t>541H704500132010810839</t>
  </si>
  <si>
    <t>ZGW/2023/10/046</t>
  </si>
  <si>
    <t>N/02963</t>
  </si>
  <si>
    <t>WZ/SER/23/10/168</t>
  </si>
  <si>
    <t>PS221218038</t>
  </si>
  <si>
    <t>541F678410125100871054</t>
  </si>
  <si>
    <t>PS240703740</t>
  </si>
  <si>
    <t>541K488620136090810018</t>
  </si>
  <si>
    <t>ZGW/2023/12/044</t>
  </si>
  <si>
    <t>N/06377</t>
  </si>
  <si>
    <t>WZ/SER/23/12/155</t>
  </si>
  <si>
    <t>PS221236303</t>
  </si>
  <si>
    <t>541J612950135050810015</t>
  </si>
  <si>
    <t>ZG/Z/24/10/014</t>
  </si>
  <si>
    <t>N/04858</t>
  </si>
  <si>
    <t>WZ/SER/24/10/038</t>
  </si>
  <si>
    <t>PS240700658</t>
  </si>
  <si>
    <t>541H704500132010810726</t>
  </si>
  <si>
    <t>ZG/Z/25/05/091</t>
  </si>
  <si>
    <t>N/03291</t>
  </si>
  <si>
    <t>WZ/SER/25/05/100</t>
  </si>
  <si>
    <t>PS250203694</t>
  </si>
  <si>
    <t>541Q672141049240170318</t>
  </si>
  <si>
    <t>ZGW/2023/06/020</t>
  </si>
  <si>
    <t>N/05631</t>
  </si>
  <si>
    <t>WZ/SER/23/06/051</t>
  </si>
  <si>
    <t>PS220500808</t>
  </si>
  <si>
    <t>341F325250122220810190</t>
  </si>
  <si>
    <t>M/17222000031205</t>
  </si>
  <si>
    <t>PCB_358</t>
  </si>
  <si>
    <t>ZG/Z/24/07/078</t>
  </si>
  <si>
    <t>WZ/SER/24/07/116</t>
  </si>
  <si>
    <t>PS240604476</t>
  </si>
  <si>
    <t>541H704500132010810253</t>
  </si>
  <si>
    <t>M/17122000053748</t>
  </si>
  <si>
    <t>ZG/Z/24/06/085</t>
  </si>
  <si>
    <t>N/04233</t>
  </si>
  <si>
    <t>WZ/SER/24/07/037</t>
  </si>
  <si>
    <t>PS240603232</t>
  </si>
  <si>
    <t>541H704500132010810506</t>
  </si>
  <si>
    <t>M/17122000052326</t>
  </si>
  <si>
    <t>ZGW/2023/06/030</t>
  </si>
  <si>
    <t>N/03642</t>
  </si>
  <si>
    <t>WZ/SER/23/06/138</t>
  </si>
  <si>
    <t>PS220700384</t>
  </si>
  <si>
    <t>341F401970123260850398</t>
  </si>
  <si>
    <t>M/17122000053747</t>
  </si>
  <si>
    <t>ZGW/2023/07/060</t>
  </si>
  <si>
    <t>N/06314</t>
  </si>
  <si>
    <t>WZ/SER/23/07/224</t>
  </si>
  <si>
    <t>PS221222366</t>
  </si>
  <si>
    <t>541F677890125070811263</t>
  </si>
  <si>
    <t>M/17122000053742</t>
  </si>
  <si>
    <t>ZGW/2023/07/067</t>
  </si>
  <si>
    <t>WZ/SER/23/07/228</t>
  </si>
  <si>
    <t>PS221219133</t>
  </si>
  <si>
    <t>541F678410125100871490</t>
  </si>
  <si>
    <t>ZG/Z/24/07/010</t>
  </si>
  <si>
    <t>N/03201</t>
  </si>
  <si>
    <t>WZ/SER/24/07/025</t>
  </si>
  <si>
    <t>PS240602522</t>
  </si>
  <si>
    <t>541K465730738220860076</t>
  </si>
  <si>
    <t>M/17222000A58712</t>
  </si>
  <si>
    <t>ZGW/2023/08/010</t>
  </si>
  <si>
    <t>N/03134</t>
  </si>
  <si>
    <t>WZ/SER/23/08/185</t>
  </si>
  <si>
    <t>PS221209327</t>
  </si>
  <si>
    <t>541F678720124240870048</t>
  </si>
  <si>
    <t>M/17222000031204</t>
  </si>
  <si>
    <t>ZGW/2023/10/018</t>
  </si>
  <si>
    <t>N/03664</t>
  </si>
  <si>
    <t>WZ/SER/23/10/081</t>
  </si>
  <si>
    <t>PS221211997</t>
  </si>
  <si>
    <t>341F401970523250810173</t>
  </si>
  <si>
    <t>ZG/Z/25/07/019</t>
  </si>
  <si>
    <t>N/06812</t>
  </si>
  <si>
    <t>WZ/SER/25/07/050</t>
  </si>
  <si>
    <t>PS240601129</t>
  </si>
  <si>
    <t>541L25653033A070130136</t>
  </si>
  <si>
    <t>ZG/Z/24/08/004</t>
  </si>
  <si>
    <t>N/06799</t>
  </si>
  <si>
    <t>WZ/SER/24/08/007</t>
  </si>
  <si>
    <t>PS240604353</t>
  </si>
  <si>
    <t>541H704500132010810647</t>
  </si>
  <si>
    <t>ZGW/2023/09/060</t>
  </si>
  <si>
    <t>N/07233</t>
  </si>
  <si>
    <t>WZ/SER/23/09/147</t>
  </si>
  <si>
    <t>PS221215271</t>
  </si>
  <si>
    <t>541F678410125100871317</t>
  </si>
  <si>
    <t>ZGW/2024/01/008</t>
  </si>
  <si>
    <t>N/07496</t>
  </si>
  <si>
    <t>WZ/SER/24/01/072</t>
  </si>
  <si>
    <t>PS221216748</t>
  </si>
  <si>
    <t>MI/AGBP-24NXD0-I</t>
  </si>
  <si>
    <t>541F678530224240850152</t>
  </si>
  <si>
    <t>M/17122000053745</t>
  </si>
  <si>
    <t>ZG/Z/25/07/020</t>
  </si>
  <si>
    <t>WZ/SER/25/07/038</t>
  </si>
  <si>
    <t>PS240500459</t>
  </si>
  <si>
    <t>541N369600141200170029</t>
  </si>
  <si>
    <t>ZG/Z/24/12/055</t>
  </si>
  <si>
    <t>N/06290</t>
  </si>
  <si>
    <t>WZ/SER/24/12/065</t>
  </si>
  <si>
    <t>PS221249693</t>
  </si>
  <si>
    <t>541F791180125020860099</t>
  </si>
  <si>
    <t>ZGW/2023/08/062</t>
  </si>
  <si>
    <t>N/07667</t>
  </si>
  <si>
    <t>WZ/SER/23/08/212</t>
  </si>
  <si>
    <t>PS221222933</t>
  </si>
  <si>
    <t>541F678410125100870747</t>
  </si>
  <si>
    <t>ZGW/2023/07/087</t>
  </si>
  <si>
    <t>WZ/SER/23/08/166</t>
  </si>
  <si>
    <t>PS221224000</t>
  </si>
  <si>
    <t>541F677890125070810272</t>
  </si>
  <si>
    <t>ZW/Z/24/04/001</t>
  </si>
  <si>
    <t>N/02599</t>
  </si>
  <si>
    <t>WZ/SER/24/04/015</t>
  </si>
  <si>
    <t>PS221253628</t>
  </si>
  <si>
    <t>541H704500132010810440</t>
  </si>
  <si>
    <t>M/17122500A02907</t>
  </si>
  <si>
    <t>ZG/Z/24/10/002</t>
  </si>
  <si>
    <t>N/02763</t>
  </si>
  <si>
    <t>WZ/SER/24/10/011</t>
  </si>
  <si>
    <t>PS240604870</t>
  </si>
  <si>
    <t>541K465730738220860119</t>
  </si>
  <si>
    <t>ZG/Z/25/06/110</t>
  </si>
  <si>
    <t>N/02319</t>
  </si>
  <si>
    <t>WZ/SER/25/06/106</t>
  </si>
  <si>
    <t>PS221228167</t>
  </si>
  <si>
    <t>541K316760135240810301</t>
  </si>
  <si>
    <t>ZG/Z/24/07/076</t>
  </si>
  <si>
    <t>N/00950</t>
  </si>
  <si>
    <t>WZ/SER/24/07/120</t>
  </si>
  <si>
    <t>PS240701574</t>
  </si>
  <si>
    <t>MI/AGBPW-09NXD0-IH</t>
  </si>
  <si>
    <t>541P186930144200170003</t>
  </si>
  <si>
    <t>ZG/Z/24/09/055</t>
  </si>
  <si>
    <t>N/02642</t>
  </si>
  <si>
    <t>WZ/SER/24/09/071</t>
  </si>
  <si>
    <t>PS221102264</t>
  </si>
  <si>
    <t>541F678720124240870010</t>
  </si>
  <si>
    <t>ZG/Z/24/10/059</t>
  </si>
  <si>
    <t>N/02708</t>
  </si>
  <si>
    <t>WZ/SER/24/11/006</t>
  </si>
  <si>
    <t>PS221219300</t>
  </si>
  <si>
    <t>541F678410125100870685</t>
  </si>
  <si>
    <t>ZGW/2023/11/068</t>
  </si>
  <si>
    <t>N/04198</t>
  </si>
  <si>
    <t>WZ/SER/23/11/159</t>
  </si>
  <si>
    <t>PS221225732</t>
  </si>
  <si>
    <t>541F677890125070810668</t>
  </si>
  <si>
    <t>ZG/Z/25/03/026</t>
  </si>
  <si>
    <t>N/00100</t>
  </si>
  <si>
    <t>WZ/SER/25/05/018</t>
  </si>
  <si>
    <t>PS221232394</t>
  </si>
  <si>
    <t>541F677890125070810852</t>
  </si>
  <si>
    <t>ZG/Z/24/08/037</t>
  </si>
  <si>
    <t>N/06214</t>
  </si>
  <si>
    <t>WZ/SER/24/08/058</t>
  </si>
  <si>
    <t>PS221249506</t>
  </si>
  <si>
    <t>541L73107143C070170032</t>
  </si>
  <si>
    <t>ZGW/2023/08/066</t>
  </si>
  <si>
    <t>WZ/SER/23/08/215</t>
  </si>
  <si>
    <t>PS221228261</t>
  </si>
  <si>
    <t>541H704500132010810331</t>
  </si>
  <si>
    <t>ZG/Z/25/03/020</t>
  </si>
  <si>
    <t>N/04130</t>
  </si>
  <si>
    <t>WZ/SER/25/03/019</t>
  </si>
  <si>
    <t>PS221215581</t>
  </si>
  <si>
    <t>541F678410125100871141</t>
  </si>
  <si>
    <t>ZW/Z/24/05/001</t>
  </si>
  <si>
    <t>N/08056</t>
  </si>
  <si>
    <t>WZ/SER/24/05/011</t>
  </si>
  <si>
    <t>PS240402878</t>
  </si>
  <si>
    <t>541N369600141200170074</t>
  </si>
  <si>
    <t>M/17122500000830</t>
  </si>
  <si>
    <t>ZGW/2023/11/065</t>
  </si>
  <si>
    <t>N/05996</t>
  </si>
  <si>
    <t>WZ/SER/23/11/156</t>
  </si>
  <si>
    <t>PS221241926</t>
  </si>
  <si>
    <t>541K488620336090810030</t>
  </si>
  <si>
    <t>ZGW/2024/02/065</t>
  </si>
  <si>
    <t>N/06718</t>
  </si>
  <si>
    <t>WZ/SER/24/03/086</t>
  </si>
  <si>
    <t>PS221232312</t>
  </si>
  <si>
    <t>541K488620336090810056</t>
  </si>
  <si>
    <t>ZG/Z/24/06/023</t>
  </si>
  <si>
    <t>WZ/SER/24/06/048</t>
  </si>
  <si>
    <t>PS221249400</t>
  </si>
  <si>
    <t>541K46599013A060830016</t>
  </si>
  <si>
    <t>ZG/Z/24/06/107</t>
  </si>
  <si>
    <t>N/02902</t>
  </si>
  <si>
    <t>WZ/SER/24/07/068</t>
  </si>
  <si>
    <t>PS220701082</t>
  </si>
  <si>
    <t>341F401970123260850026</t>
  </si>
  <si>
    <t>ZG/Z/24/04/063</t>
  </si>
  <si>
    <t>N/07992</t>
  </si>
  <si>
    <t>WZ/SER/24/04/058</t>
  </si>
  <si>
    <t>PS221242205</t>
  </si>
  <si>
    <t>541J612950135050810274</t>
  </si>
  <si>
    <t>ZG/Z/24/07/068</t>
  </si>
  <si>
    <t>N/05233</t>
  </si>
  <si>
    <t>WZ/SER/24/07/103</t>
  </si>
  <si>
    <t>PS220702594</t>
  </si>
  <si>
    <t>341F401970523250810396</t>
  </si>
  <si>
    <t>ZG/Z/24/08/043</t>
  </si>
  <si>
    <t>WZ/SER/24/08/085</t>
  </si>
  <si>
    <t>ZG/Z/25/01/058</t>
  </si>
  <si>
    <t>WZ/SER/25/01/068</t>
  </si>
  <si>
    <t>PS221213096</t>
  </si>
  <si>
    <t>341F401970523250810138</t>
  </si>
  <si>
    <t>ZG/Z/25/03/036</t>
  </si>
  <si>
    <t>WZ/SER/25/03/053</t>
  </si>
  <si>
    <t>PRD032564339</t>
  </si>
  <si>
    <t>PLYWAK_359</t>
  </si>
  <si>
    <t>ZG/Z/24/07/091</t>
  </si>
  <si>
    <t>WZ/SER/24/07/124</t>
  </si>
  <si>
    <t>PS240704095</t>
  </si>
  <si>
    <t>541H704500132010810738</t>
  </si>
  <si>
    <t>M/11002010A00014</t>
  </si>
  <si>
    <t>SILNIK ZALUZJI_348</t>
  </si>
  <si>
    <t>ZGW/2023/08/017</t>
  </si>
  <si>
    <t>N/06169</t>
  </si>
  <si>
    <t>WZ/SER/23/08/190</t>
  </si>
  <si>
    <t>PS221212108</t>
  </si>
  <si>
    <t>341F401970523250810075</t>
  </si>
  <si>
    <t>M/11002015000248</t>
  </si>
  <si>
    <t>SILNIK_355</t>
  </si>
  <si>
    <t>ZGW/2023/08/073</t>
  </si>
  <si>
    <t>WZ/SER/23/08/218</t>
  </si>
  <si>
    <t>M/11002015000150</t>
  </si>
  <si>
    <t>SILNIK_356</t>
  </si>
  <si>
    <t>WZ/SER/23/07/251</t>
  </si>
  <si>
    <t>M/11002015A00236</t>
  </si>
  <si>
    <t>SILNIK_357</t>
  </si>
  <si>
    <t>M/11002015000396</t>
  </si>
  <si>
    <t>SILNIK_358</t>
  </si>
  <si>
    <t>ZGW/2023/10/055</t>
  </si>
  <si>
    <t>NS/00348</t>
  </si>
  <si>
    <t>WZ/SER/23/10/175</t>
  </si>
  <si>
    <t>PS221237534</t>
  </si>
  <si>
    <t>541K488620336090810016</t>
  </si>
  <si>
    <t>M/11002010000077</t>
  </si>
  <si>
    <t>SILNIK_359</t>
  </si>
  <si>
    <t>ZG/Z/24/12/026</t>
  </si>
  <si>
    <t>N/03298</t>
  </si>
  <si>
    <t>WZ/SER/24/12/036</t>
  </si>
  <si>
    <t>PS241103052</t>
  </si>
  <si>
    <t>MI/AGBP-24NXD0-IH</t>
  </si>
  <si>
    <t>541F678620324240850031</t>
  </si>
  <si>
    <t>M/11002010000161</t>
  </si>
  <si>
    <t>SILNIK_360</t>
  </si>
  <si>
    <t>M/11002015000051</t>
  </si>
  <si>
    <t>SILNIK_361</t>
  </si>
  <si>
    <t>ZGW/2023/07/075</t>
  </si>
  <si>
    <t>N/07407</t>
  </si>
  <si>
    <t>WZ/SER/23/07/234</t>
  </si>
  <si>
    <t>PS221225671</t>
  </si>
  <si>
    <t>541F677890125070810927</t>
  </si>
  <si>
    <t>SILNIK_362</t>
  </si>
  <si>
    <t>ZG/Z/25/05/051</t>
  </si>
  <si>
    <t>N/04330</t>
  </si>
  <si>
    <t>WZ/SER/25/05/062</t>
  </si>
  <si>
    <t>PS221224162</t>
  </si>
  <si>
    <t>541F677890125070810221</t>
  </si>
  <si>
    <t>SILNIK_363</t>
  </si>
  <si>
    <t>ZG/Z/24/11/074</t>
  </si>
  <si>
    <t>N/07262</t>
  </si>
  <si>
    <t>WZ/SER/24/11/088</t>
  </si>
  <si>
    <t>PS221224563</t>
  </si>
  <si>
    <t>541J612950135050810093</t>
  </si>
  <si>
    <t>SILNIK_364</t>
  </si>
  <si>
    <t>WZ/SER/24/12/021</t>
  </si>
  <si>
    <t>M/11002010000143</t>
  </si>
  <si>
    <t>ZG/Z/24/07/023</t>
  </si>
  <si>
    <t>N/04903</t>
  </si>
  <si>
    <t>WZ/SER/24/07/049</t>
  </si>
  <si>
    <t>PS240400466</t>
  </si>
  <si>
    <t>541K488620136090810144</t>
  </si>
  <si>
    <t>WZ/SER/24/08/054</t>
  </si>
  <si>
    <t>M/11002015A01199</t>
  </si>
  <si>
    <t>ZG/Z/24/11/035</t>
  </si>
  <si>
    <t>WZ/SER/24/11/035</t>
  </si>
  <si>
    <t>PS220503797</t>
  </si>
  <si>
    <t>341F648600123220870691</t>
  </si>
  <si>
    <t>ZG/Z/25/04/035</t>
  </si>
  <si>
    <t>N/05438</t>
  </si>
  <si>
    <t>WZ/SER/25/04/029</t>
  </si>
  <si>
    <t>PS250300216</t>
  </si>
  <si>
    <t>541Q79247014B120170052</t>
  </si>
  <si>
    <t>MI/RG10A1(B2S)/BGEF</t>
  </si>
  <si>
    <t>STEROWNIKI_519</t>
  </si>
  <si>
    <t>ZGW/2023/08/018</t>
  </si>
  <si>
    <t>N/06765</t>
  </si>
  <si>
    <t>WZ/SER/23/08/191</t>
  </si>
  <si>
    <t>PS221221080</t>
  </si>
  <si>
    <t>341F647980123240810282</t>
  </si>
  <si>
    <t>MI/RG10A(B2S)/BGEF</t>
  </si>
  <si>
    <t>ZG/Z/24/09/007</t>
  </si>
  <si>
    <t>WZ/SER/24/09/069</t>
  </si>
  <si>
    <t>PS221218949</t>
  </si>
  <si>
    <t>541F678410125100871531</t>
  </si>
  <si>
    <t>M/CCM18A/N</t>
  </si>
  <si>
    <t>ZG/Z/24/06/040</t>
  </si>
  <si>
    <t>N/04920</t>
  </si>
  <si>
    <t>WZ/SER/24/06/072</t>
  </si>
  <si>
    <t>PS221222183</t>
  </si>
  <si>
    <t>541F678410125100870938</t>
  </si>
  <si>
    <t>M/12122000025628</t>
  </si>
  <si>
    <t>TACA OCIEKOWA_349</t>
  </si>
  <si>
    <t>ZG/Z/25/06/128</t>
  </si>
  <si>
    <t>N/08754</t>
  </si>
  <si>
    <t>WZ/SER/25/06/130</t>
  </si>
  <si>
    <t>PS250301865</t>
  </si>
  <si>
    <t>541Q79247034B130130179</t>
  </si>
  <si>
    <t>M/12100102000576</t>
  </si>
  <si>
    <t>TURBINA_371</t>
  </si>
  <si>
    <t>ZG/Z/24/06/020</t>
  </si>
  <si>
    <t>WZ/SER/24/06/037</t>
  </si>
  <si>
    <t>PS221240000</t>
  </si>
  <si>
    <t>541F678530224240850033</t>
  </si>
  <si>
    <t>M/12100102000018</t>
  </si>
  <si>
    <t>ZGW/2023/10/061</t>
  </si>
  <si>
    <t>WZ/SER/23/10/180</t>
  </si>
  <si>
    <t>PS221217530</t>
  </si>
  <si>
    <t>541F677890125070810914</t>
  </si>
  <si>
    <t>ZGW/2023/10/045</t>
  </si>
  <si>
    <t>WZ/SER/23/10/167</t>
  </si>
  <si>
    <t>PS221232391</t>
  </si>
  <si>
    <t>541F677890125070811128</t>
  </si>
  <si>
    <t>ZGW/2023/10/052</t>
  </si>
  <si>
    <t>WZ/SER/23/10/174</t>
  </si>
  <si>
    <t>PS221233897</t>
  </si>
  <si>
    <t>541K488620336090810095</t>
  </si>
  <si>
    <t>ZGW/2023/12/072</t>
  </si>
  <si>
    <t>N/06758</t>
  </si>
  <si>
    <t>WZ/SER/23/12/193</t>
  </si>
  <si>
    <t>PS221221684</t>
  </si>
  <si>
    <t>541F677890125070810089</t>
  </si>
  <si>
    <t>MI/AGBP-09NXD0-IH</t>
  </si>
  <si>
    <t>ZGW/2024/01/047</t>
  </si>
  <si>
    <t>N/07794</t>
  </si>
  <si>
    <t>WZ/SER/24/01/153</t>
  </si>
  <si>
    <t>PS221248068</t>
  </si>
  <si>
    <t>541H704500331280850043</t>
  </si>
  <si>
    <t>ZGW/2024/01/058</t>
  </si>
  <si>
    <t>N/08070</t>
  </si>
  <si>
    <t>WZ/SER/24/02/052</t>
  </si>
  <si>
    <t>PS221247762</t>
  </si>
  <si>
    <t>541L25653033A070130102</t>
  </si>
  <si>
    <t>ZG/Z/24/08/023</t>
  </si>
  <si>
    <t>N/02537</t>
  </si>
  <si>
    <t>WZ/SER/24/08/071</t>
  </si>
  <si>
    <t>PS220703516</t>
  </si>
  <si>
    <t>341F401970123260850008</t>
  </si>
  <si>
    <t>ZG/Z/24/09/056</t>
  </si>
  <si>
    <t>N/07314</t>
  </si>
  <si>
    <t>WZ/SER/24/09/084</t>
  </si>
  <si>
    <t>PS221238145</t>
  </si>
  <si>
    <t>541F677890125070810381</t>
  </si>
  <si>
    <t>ZG/Z/24/12/058</t>
  </si>
  <si>
    <t>N/04987</t>
  </si>
  <si>
    <t>WZ/SER/24/12/069</t>
  </si>
  <si>
    <t>PS241102442</t>
  </si>
  <si>
    <t>541Q647240149070170083</t>
  </si>
  <si>
    <t>MI/MSFAAU-12HRFN8-I</t>
  </si>
  <si>
    <t>ZG/Z/25/02/033</t>
  </si>
  <si>
    <t>N/00385</t>
  </si>
  <si>
    <t>WZ/SER/25/02/048</t>
  </si>
  <si>
    <t>PS250101161</t>
  </si>
  <si>
    <t>541N584740643190830074</t>
  </si>
  <si>
    <t>ZG/Z/25/03/041</t>
  </si>
  <si>
    <t>N/00544</t>
  </si>
  <si>
    <t>WZ/SER/25/03/043</t>
  </si>
  <si>
    <t>PS250202764</t>
  </si>
  <si>
    <t>541Q79247054B130130019</t>
  </si>
  <si>
    <t>ZG/Z/25/04/007</t>
  </si>
  <si>
    <t>N/03313</t>
  </si>
  <si>
    <t>WZ/SER/25/04/024</t>
  </si>
  <si>
    <t>PS240708045</t>
  </si>
  <si>
    <t>541L25653033A070130018</t>
  </si>
  <si>
    <t>ZG/Z/25/06/094</t>
  </si>
  <si>
    <t>N/08141</t>
  </si>
  <si>
    <t>WZ/SER/25/06/116</t>
  </si>
  <si>
    <t>PS250101630</t>
  </si>
  <si>
    <t>541Q672141049240170253</t>
  </si>
  <si>
    <t>ZG/Z/25/06/049</t>
  </si>
  <si>
    <t>N/09525</t>
  </si>
  <si>
    <t>WZ/SER/25/06/112</t>
  </si>
  <si>
    <t>PS250601279</t>
  </si>
  <si>
    <t>541U2626903A3020170226</t>
  </si>
  <si>
    <r>
      <t>D</t>
    </r>
    <r>
      <rPr>
        <vertAlign val="subscript"/>
        <sz val="12"/>
        <color rgb="FF000000"/>
        <rFont val="Calibri"/>
        <family val="2"/>
        <charset val="238"/>
      </rPr>
      <t>s</t>
    </r>
  </si>
  <si>
    <t>Data sprzedaży urządzenia</t>
  </si>
  <si>
    <r>
      <t>D</t>
    </r>
    <r>
      <rPr>
        <vertAlign val="subscript"/>
        <sz val="12"/>
        <color rgb="FF000000"/>
        <rFont val="Calibri"/>
        <family val="2"/>
        <charset val="238"/>
      </rPr>
      <t>a</t>
    </r>
    <r>
      <rPr>
        <sz val="12"/>
        <color rgb="FF000000"/>
        <rFont val="Calibri"/>
        <family val="2"/>
        <charset val="238"/>
      </rPr>
      <t>​</t>
    </r>
  </si>
  <si>
    <t>Data zgłoszenia awarii</t>
  </si>
  <si>
    <t>M</t>
  </si>
  <si>
    <t>Model urządzenia</t>
  </si>
  <si>
    <t>SN</t>
  </si>
  <si>
    <t>Numer seryjny urządzenia</t>
  </si>
  <si>
    <t>C</t>
  </si>
  <si>
    <t>Typ części zamiennej (np. sprężarka, wentylator)</t>
  </si>
  <si>
    <r>
      <t>C</t>
    </r>
    <r>
      <rPr>
        <vertAlign val="subscript"/>
        <sz val="12"/>
        <color rgb="FF000000"/>
        <rFont val="Calibri"/>
        <family val="2"/>
        <charset val="238"/>
      </rPr>
      <t>N</t>
    </r>
  </si>
  <si>
    <t>Numer części zamiennej (BOM)</t>
  </si>
  <si>
    <r>
      <t>N</t>
    </r>
    <r>
      <rPr>
        <vertAlign val="subscript"/>
        <sz val="12"/>
        <color rgb="FF000000"/>
        <rFont val="Calibri"/>
        <family val="2"/>
        <charset val="238"/>
      </rPr>
      <t>M</t>
    </r>
  </si>
  <si>
    <t>Liczba urządzeń danego modelu wprowadzonych na rynek, będących na gwarancji</t>
  </si>
  <si>
    <r>
      <t>T</t>
    </r>
    <r>
      <rPr>
        <vertAlign val="subscript"/>
        <sz val="12"/>
        <color rgb="FF000000"/>
        <rFont val="Calibri"/>
        <family val="2"/>
        <charset val="238"/>
      </rPr>
      <t>i</t>
    </r>
  </si>
  <si>
    <r>
      <t>Czas do awarii – liczba miesięcy od sprzedaży do awarii T</t>
    </r>
    <r>
      <rPr>
        <vertAlign val="subscript"/>
        <sz val="12"/>
        <color rgb="FF000000"/>
        <rFont val="Calibri"/>
        <family val="2"/>
        <charset val="238"/>
      </rPr>
      <t>i</t>
    </r>
    <r>
      <rPr>
        <sz val="12"/>
        <color rgb="FF000000"/>
        <rFont val="Calibri"/>
        <family val="2"/>
        <charset val="238"/>
      </rPr>
      <t>=D</t>
    </r>
    <r>
      <rPr>
        <vertAlign val="subscript"/>
        <sz val="12"/>
        <color rgb="FF000000"/>
        <rFont val="Calibri"/>
        <family val="2"/>
        <charset val="238"/>
      </rPr>
      <t>a</t>
    </r>
    <r>
      <rPr>
        <sz val="12"/>
        <color rgb="FF000000"/>
        <rFont val="Calibri"/>
        <family val="2"/>
        <charset val="238"/>
      </rPr>
      <t>-D</t>
    </r>
    <r>
      <rPr>
        <vertAlign val="subscript"/>
        <sz val="12"/>
        <color rgb="FF000000"/>
        <rFont val="Calibri"/>
        <family val="2"/>
        <charset val="238"/>
      </rPr>
      <t>s</t>
    </r>
  </si>
  <si>
    <t>T</t>
  </si>
  <si>
    <t>Horyzont czasowy (miesiące) – okres, na który chcemy wykonać prognozę</t>
  </si>
  <si>
    <t>A</t>
  </si>
  <si>
    <t>Średnia liczba awarii danej części na jedno urządzenie</t>
  </si>
  <si>
    <t>2022</t>
  </si>
  <si>
    <t>2023</t>
  </si>
  <si>
    <t>2024(NAV)</t>
  </si>
  <si>
    <t>2024(BC)</t>
  </si>
  <si>
    <t>2025</t>
  </si>
  <si>
    <t>W rynku</t>
  </si>
  <si>
    <t>Ilość awarii</t>
  </si>
  <si>
    <t>Awaryjność</t>
  </si>
  <si>
    <t>awaryjnośc globalna per urządzenie</t>
  </si>
  <si>
    <t>awaryjność per typ części zamiennej</t>
  </si>
  <si>
    <t>MI/AGBP-18NXD0-IH</t>
  </si>
  <si>
    <t>MI/AGBPW-24NXD0-IH</t>
  </si>
  <si>
    <t>Total</t>
  </si>
  <si>
    <t>Nr porządkowy</t>
  </si>
  <si>
    <t>Empiryczne prawdopodobieństwo awarii (Fi)</t>
  </si>
  <si>
    <t>X</t>
  </si>
  <si>
    <t>Y</t>
  </si>
  <si>
    <t>a</t>
  </si>
  <si>
    <t>a wzor</t>
  </si>
  <si>
    <t>b</t>
  </si>
  <si>
    <t>b wzor</t>
  </si>
  <si>
    <t>ß</t>
  </si>
  <si>
    <t>η</t>
  </si>
  <si>
    <t>Prawdopodobieństwo wystąpienia awarii F(t)</t>
  </si>
  <si>
    <t>Zapotrzebowanie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</si>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</sst>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##"/>
    <numFmt numFmtId="165" formatCode="0.0%"/>
    <numFmt numFmtId="166" formatCode="0.0"/>
  </numFmts>
  <fonts count="16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238"/>
    </font>
    <font>
      <vertAlign val="subscript"/>
      <sz val="12"/>
      <color rgb="FF000000"/>
      <name val="Calibri"/>
      <family val="2"/>
      <charset val="238"/>
    </font>
    <font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Verdana"/>
      <family val="2"/>
    </font>
    <font>
      <sz val="10"/>
      <color theme="1"/>
      <name val="Verdana"/>
      <family val="2"/>
    </font>
    <font>
      <sz val="8"/>
      <name val="Aptos Narrow"/>
      <family val="2"/>
      <scheme val="minor"/>
    </font>
    <font>
      <b/>
      <sz val="11"/>
      <name val="Aptos Narrow"/>
      <family val="2"/>
    </font>
    <font>
      <i/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7030A0"/>
        <bgColor theme="4" tint="0.79998168889431442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4" fillId="0" borderId="0" xfId="0" applyFont="1" applyAlignment="1">
      <alignment horizontal="left" vertical="center" wrapText="1" readingOrder="1"/>
    </xf>
    <xf numFmtId="0" fontId="6" fillId="0" borderId="0" xfId="0" applyFont="1"/>
    <xf numFmtId="0" fontId="4" fillId="0" borderId="0" xfId="0" applyFont="1" applyAlignment="1">
      <alignment vertical="center" wrapText="1" readingOrder="1"/>
    </xf>
    <xf numFmtId="49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" fontId="0" fillId="0" borderId="0" xfId="0" applyNumberFormat="1" applyAlignment="1">
      <alignment vertical="top"/>
    </xf>
    <xf numFmtId="0" fontId="11" fillId="0" borderId="0" xfId="0" applyFont="1" applyAlignment="1">
      <alignment vertical="top"/>
    </xf>
    <xf numFmtId="3" fontId="0" fillId="0" borderId="0" xfId="0" applyNumberFormat="1"/>
    <xf numFmtId="3" fontId="11" fillId="0" borderId="0" xfId="0" applyNumberFormat="1" applyFont="1"/>
    <xf numFmtId="49" fontId="0" fillId="0" borderId="0" xfId="0" applyNumberFormat="1" applyAlignment="1">
      <alignment vertical="top"/>
    </xf>
    <xf numFmtId="49" fontId="0" fillId="0" borderId="2" xfId="0" applyNumberFormat="1" applyBorder="1"/>
    <xf numFmtId="49" fontId="11" fillId="0" borderId="2" xfId="0" applyNumberFormat="1" applyFont="1" applyBorder="1"/>
    <xf numFmtId="49" fontId="8" fillId="0" borderId="0" xfId="0" applyNumberFormat="1" applyFont="1" applyAlignment="1">
      <alignment horizontal="left"/>
    </xf>
    <xf numFmtId="0" fontId="0" fillId="0" borderId="0" xfId="0" applyAlignment="1">
      <alignment vertical="top"/>
    </xf>
    <xf numFmtId="0" fontId="1" fillId="0" borderId="0" xfId="0" applyFont="1"/>
    <xf numFmtId="165" fontId="0" fillId="0" borderId="0" xfId="1" applyNumberFormat="1" applyFont="1"/>
    <xf numFmtId="165" fontId="1" fillId="0" borderId="0" xfId="1" applyNumberFormat="1" applyFont="1"/>
    <xf numFmtId="49" fontId="7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readingOrder="1"/>
    </xf>
    <xf numFmtId="0" fontId="0" fillId="3" borderId="0" xfId="0" applyFill="1"/>
    <xf numFmtId="14" fontId="3" fillId="3" borderId="1" xfId="0" applyNumberFormat="1" applyFont="1" applyFill="1" applyBorder="1"/>
    <xf numFmtId="49" fontId="3" fillId="3" borderId="1" xfId="0" applyNumberFormat="1" applyFont="1" applyFill="1" applyBorder="1"/>
    <xf numFmtId="2" fontId="3" fillId="4" borderId="1" xfId="0" applyNumberFormat="1" applyFont="1" applyFill="1" applyBorder="1"/>
    <xf numFmtId="14" fontId="3" fillId="4" borderId="1" xfId="0" applyNumberFormat="1" applyFont="1" applyFill="1" applyBorder="1"/>
    <xf numFmtId="49" fontId="3" fillId="4" borderId="1" xfId="0" applyNumberFormat="1" applyFont="1" applyFill="1" applyBorder="1"/>
    <xf numFmtId="0" fontId="3" fillId="4" borderId="1" xfId="0" applyFont="1" applyFill="1" applyBorder="1"/>
    <xf numFmtId="0" fontId="3" fillId="3" borderId="1" xfId="0" applyFont="1" applyFill="1" applyBorder="1"/>
    <xf numFmtId="0" fontId="0" fillId="5" borderId="0" xfId="0" applyFill="1"/>
    <xf numFmtId="14" fontId="3" fillId="5" borderId="1" xfId="0" applyNumberFormat="1" applyFont="1" applyFill="1" applyBorder="1"/>
    <xf numFmtId="49" fontId="3" fillId="5" borderId="1" xfId="0" applyNumberFormat="1" applyFont="1" applyFill="1" applyBorder="1"/>
    <xf numFmtId="0" fontId="0" fillId="7" borderId="0" xfId="0" applyFill="1"/>
    <xf numFmtId="14" fontId="3" fillId="8" borderId="1" xfId="0" applyNumberFormat="1" applyFont="1" applyFill="1" applyBorder="1"/>
    <xf numFmtId="49" fontId="3" fillId="8" borderId="1" xfId="0" applyNumberFormat="1" applyFont="1" applyFill="1" applyBorder="1"/>
    <xf numFmtId="0" fontId="3" fillId="8" borderId="1" xfId="0" applyFont="1" applyFill="1" applyBorder="1"/>
    <xf numFmtId="0" fontId="9" fillId="8" borderId="1" xfId="0" applyFont="1" applyFill="1" applyBorder="1" applyAlignment="1">
      <alignment horizontal="left"/>
    </xf>
    <xf numFmtId="14" fontId="3" fillId="7" borderId="1" xfId="0" applyNumberFormat="1" applyFont="1" applyFill="1" applyBorder="1"/>
    <xf numFmtId="49" fontId="3" fillId="7" borderId="1" xfId="0" applyNumberFormat="1" applyFont="1" applyFill="1" applyBorder="1"/>
    <xf numFmtId="0" fontId="3" fillId="7" borderId="1" xfId="0" applyFont="1" applyFill="1" applyBorder="1"/>
    <xf numFmtId="0" fontId="9" fillId="7" borderId="1" xfId="0" applyFont="1" applyFill="1" applyBorder="1" applyAlignment="1">
      <alignment horizontal="left"/>
    </xf>
    <xf numFmtId="0" fontId="0" fillId="9" borderId="0" xfId="0" applyFill="1"/>
    <xf numFmtId="14" fontId="3" fillId="10" borderId="1" xfId="0" applyNumberFormat="1" applyFont="1" applyFill="1" applyBorder="1"/>
    <xf numFmtId="49" fontId="3" fillId="10" borderId="1" xfId="0" applyNumberFormat="1" applyFont="1" applyFill="1" applyBorder="1"/>
    <xf numFmtId="0" fontId="3" fillId="10" borderId="1" xfId="0" applyFont="1" applyFill="1" applyBorder="1"/>
    <xf numFmtId="0" fontId="9" fillId="10" borderId="1" xfId="0" applyFont="1" applyFill="1" applyBorder="1" applyAlignment="1">
      <alignment horizontal="left"/>
    </xf>
    <xf numFmtId="14" fontId="3" fillId="9" borderId="1" xfId="0" applyNumberFormat="1" applyFont="1" applyFill="1" applyBorder="1"/>
    <xf numFmtId="49" fontId="3" fillId="9" borderId="1" xfId="0" applyNumberFormat="1" applyFont="1" applyFill="1" applyBorder="1"/>
    <xf numFmtId="0" fontId="3" fillId="9" borderId="1" xfId="0" applyFont="1" applyFill="1" applyBorder="1"/>
    <xf numFmtId="0" fontId="9" fillId="9" borderId="1" xfId="0" applyFont="1" applyFill="1" applyBorder="1" applyAlignment="1">
      <alignment horizontal="left"/>
    </xf>
    <xf numFmtId="0" fontId="3" fillId="11" borderId="0" xfId="0" applyFont="1" applyFill="1"/>
    <xf numFmtId="14" fontId="3" fillId="12" borderId="1" xfId="0" applyNumberFormat="1" applyFont="1" applyFill="1" applyBorder="1"/>
    <xf numFmtId="49" fontId="3" fillId="12" borderId="1" xfId="0" applyNumberFormat="1" applyFont="1" applyFill="1" applyBorder="1"/>
    <xf numFmtId="0" fontId="3" fillId="12" borderId="1" xfId="0" applyFont="1" applyFill="1" applyBorder="1"/>
    <xf numFmtId="0" fontId="9" fillId="12" borderId="1" xfId="0" applyFont="1" applyFill="1" applyBorder="1" applyAlignment="1">
      <alignment horizontal="left"/>
    </xf>
    <xf numFmtId="14" fontId="3" fillId="11" borderId="1" xfId="0" applyNumberFormat="1" applyFont="1" applyFill="1" applyBorder="1"/>
    <xf numFmtId="49" fontId="3" fillId="11" borderId="1" xfId="0" applyNumberFormat="1" applyFont="1" applyFill="1" applyBorder="1"/>
    <xf numFmtId="0" fontId="3" fillId="11" borderId="1" xfId="0" applyFont="1" applyFill="1" applyBorder="1"/>
    <xf numFmtId="0" fontId="9" fillId="11" borderId="1" xfId="0" applyFont="1" applyFill="1" applyBorder="1" applyAlignment="1">
      <alignment horizontal="left"/>
    </xf>
    <xf numFmtId="14" fontId="3" fillId="12" borderId="4" xfId="0" applyNumberFormat="1" applyFont="1" applyFill="1" applyBorder="1"/>
    <xf numFmtId="49" fontId="3" fillId="12" borderId="4" xfId="0" applyNumberFormat="1" applyFont="1" applyFill="1" applyBorder="1"/>
    <xf numFmtId="2" fontId="3" fillId="8" borderId="1" xfId="0" applyNumberFormat="1" applyFont="1" applyFill="1" applyBorder="1"/>
    <xf numFmtId="2" fontId="3" fillId="10" borderId="1" xfId="0" applyNumberFormat="1" applyFont="1" applyFill="1" applyBorder="1"/>
    <xf numFmtId="2" fontId="3" fillId="12" borderId="1" xfId="0" applyNumberFormat="1" applyFont="1" applyFill="1" applyBorder="1"/>
    <xf numFmtId="2" fontId="3" fillId="6" borderId="1" xfId="0" applyNumberFormat="1" applyFont="1" applyFill="1" applyBorder="1"/>
    <xf numFmtId="2" fontId="0" fillId="3" borderId="0" xfId="0" applyNumberFormat="1" applyFill="1"/>
    <xf numFmtId="2" fontId="0" fillId="5" borderId="0" xfId="0" applyNumberFormat="1" applyFill="1"/>
    <xf numFmtId="2" fontId="0" fillId="7" borderId="0" xfId="0" applyNumberFormat="1" applyFill="1"/>
    <xf numFmtId="2" fontId="0" fillId="9" borderId="0" xfId="0" applyNumberFormat="1" applyFill="1"/>
    <xf numFmtId="2" fontId="0" fillId="11" borderId="0" xfId="0" applyNumberFormat="1" applyFill="1"/>
    <xf numFmtId="166" fontId="0" fillId="0" borderId="0" xfId="0" applyNumberFormat="1"/>
    <xf numFmtId="49" fontId="7" fillId="13" borderId="0" xfId="0" applyNumberFormat="1" applyFont="1" applyFill="1" applyAlignment="1">
      <alignment horizontal="center" vertical="center" wrapText="1"/>
    </xf>
    <xf numFmtId="49" fontId="7" fillId="13" borderId="5" xfId="0" applyNumberFormat="1" applyFont="1" applyFill="1" applyBorder="1" applyAlignment="1">
      <alignment horizontal="center" vertical="center" wrapText="1"/>
    </xf>
    <xf numFmtId="49" fontId="7" fillId="1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49" fontId="7" fillId="14" borderId="0" xfId="0" applyNumberFormat="1" applyFont="1" applyFill="1" applyAlignment="1">
      <alignment horizontal="center" vertical="center" wrapText="1"/>
    </xf>
    <xf numFmtId="0" fontId="13" fillId="0" borderId="0" xfId="0" applyFont="1" applyAlignment="1">
      <alignment wrapText="1"/>
    </xf>
    <xf numFmtId="0" fontId="14" fillId="0" borderId="0" xfId="0" applyFont="1"/>
    <xf numFmtId="166" fontId="3" fillId="3" borderId="1" xfId="0" applyNumberFormat="1" applyFont="1" applyFill="1" applyBorder="1"/>
    <xf numFmtId="166" fontId="3" fillId="4" borderId="1" xfId="0" applyNumberFormat="1" applyFont="1" applyFill="1" applyBorder="1"/>
    <xf numFmtId="166" fontId="3" fillId="5" borderId="1" xfId="0" applyNumberFormat="1" applyFont="1" applyFill="1" applyBorder="1"/>
    <xf numFmtId="166" fontId="3" fillId="8" borderId="1" xfId="0" applyNumberFormat="1" applyFont="1" applyFill="1" applyBorder="1"/>
    <xf numFmtId="166" fontId="3" fillId="7" borderId="1" xfId="0" applyNumberFormat="1" applyFont="1" applyFill="1" applyBorder="1"/>
    <xf numFmtId="166" fontId="3" fillId="10" borderId="1" xfId="0" applyNumberFormat="1" applyFont="1" applyFill="1" applyBorder="1"/>
    <xf numFmtId="166" fontId="3" fillId="9" borderId="1" xfId="0" applyNumberFormat="1" applyFont="1" applyFill="1" applyBorder="1"/>
    <xf numFmtId="166" fontId="3" fillId="12" borderId="1" xfId="0" applyNumberFormat="1" applyFont="1" applyFill="1" applyBorder="1"/>
    <xf numFmtId="166" fontId="3" fillId="11" borderId="1" xfId="0" applyNumberFormat="1" applyFont="1" applyFill="1" applyBorder="1"/>
    <xf numFmtId="166" fontId="3" fillId="12" borderId="4" xfId="0" applyNumberFormat="1" applyFont="1" applyFill="1" applyBorder="1"/>
    <xf numFmtId="49" fontId="15" fillId="0" borderId="0" xfId="0" applyNumberFormat="1" applyFont="1"/>
    <xf numFmtId="0" fontId="9" fillId="16" borderId="1" xfId="0" applyFont="1" applyFill="1" applyBorder="1" applyAlignment="1">
      <alignment horizontal="left"/>
    </xf>
    <xf numFmtId="49" fontId="3" fillId="17" borderId="1" xfId="0" applyNumberFormat="1" applyFont="1" applyFill="1" applyBorder="1"/>
    <xf numFmtId="49" fontId="3" fillId="15" borderId="1" xfId="0" applyNumberFormat="1" applyFont="1" applyFill="1" applyBorder="1"/>
    <xf numFmtId="49" fontId="3" fillId="18" borderId="1" xfId="0" applyNumberFormat="1" applyFont="1" applyFill="1" applyBorder="1"/>
    <xf numFmtId="0" fontId="9" fillId="19" borderId="1" xfId="0" applyFont="1" applyFill="1" applyBorder="1" applyAlignment="1">
      <alignment horizontal="left"/>
    </xf>
    <xf numFmtId="0" fontId="9" fillId="20" borderId="1" xfId="0" applyFont="1" applyFill="1" applyBorder="1" applyAlignment="1">
      <alignment horizontal="left"/>
    </xf>
    <xf numFmtId="49" fontId="3" fillId="21" borderId="1" xfId="0" applyNumberFormat="1" applyFont="1" applyFill="1" applyBorder="1"/>
    <xf numFmtId="49" fontId="3" fillId="22" borderId="1" xfId="0" applyNumberFormat="1" applyFont="1" applyFill="1" applyBorder="1"/>
    <xf numFmtId="0" fontId="9" fillId="17" borderId="1" xfId="0" applyFont="1" applyFill="1" applyBorder="1" applyAlignment="1">
      <alignment horizontal="left"/>
    </xf>
  </cellXfs>
  <cellStyles count="2">
    <cellStyle name="Normalny" xfId="0" builtinId="0"/>
    <cellStyle name="Procentowy" xfId="1" builtinId="5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64" formatCode="#,##0.00##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  <alignment horizontal="center" vertical="center" textRotation="0" wrapText="1" indent="0" justifyLastLine="0" shrinkToFit="0" readingOrder="0"/>
    </dxf>
    <dxf>
      <numFmt numFmtId="2" formatCode="0.00"/>
    </dxf>
    <dxf>
      <numFmt numFmtId="166" formatCode="0.0"/>
    </dxf>
    <dxf>
      <numFmt numFmtId="0" formatCode="General"/>
    </dxf>
    <dxf>
      <numFmt numFmtId="2" formatCode="0.00"/>
      <fill>
        <patternFill patternType="solid">
          <fgColor indexed="64"/>
          <bgColor theme="2"/>
        </patternFill>
      </fill>
    </dxf>
    <dxf>
      <numFmt numFmtId="0" formatCode="General"/>
    </dxf>
    <dxf>
      <numFmt numFmtId="2" formatCode="0.00"/>
      <fill>
        <patternFill patternType="solid">
          <fgColor indexed="64"/>
          <bgColor theme="2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  <alignment horizontal="center" vertical="center" textRotation="0" wrapText="1" indent="0" justifyLastLine="0" shrinkToFit="0" readingOrder="0"/>
    </dxf>
    <dxf>
      <numFmt numFmtId="165" formatCode="0.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diagonalUp="0" diagonalDown="0">
        <left/>
        <right style="thin">
          <color auto="1"/>
        </right>
        <top/>
        <bottom/>
        <vertical/>
        <horizontal/>
      </border>
    </dxf>
    <dxf>
      <numFmt numFmtId="1" formatCode="0"/>
      <alignment horizontal="general" vertical="top" textRotation="0" wrapText="0" indent="0" justifyLastLine="0" shrinkToFit="0" readingOrder="0"/>
    </dxf>
    <dxf>
      <numFmt numFmtId="0" formatCode="General"/>
    </dxf>
    <dxf>
      <numFmt numFmtId="1" formatCode="0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'AGBP-09NXD0-I'!$O$2</c:f>
              <c:strCache>
                <c:ptCount val="1"/>
                <c:pt idx="0">
                  <c:v>PCB_358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'AGBP-09NXD0-I'!$Q$2:$Q$12</c:f>
              <c:numCache>
                <c:formatCode>0.00</c:formatCode>
                <c:ptCount val="11"/>
                <c:pt idx="0">
                  <c:v>-0.77652878949899629</c:v>
                </c:pt>
                <c:pt idx="1">
                  <c:v>0.66177991091223221</c:v>
                </c:pt>
                <c:pt idx="2">
                  <c:v>0.71137685205160872</c:v>
                </c:pt>
                <c:pt idx="3">
                  <c:v>1.5400695246077758</c:v>
                </c:pt>
                <c:pt idx="4">
                  <c:v>1.8365158950531455</c:v>
                </c:pt>
                <c:pt idx="5">
                  <c:v>1.9023624608507312</c:v>
                </c:pt>
                <c:pt idx="6">
                  <c:v>2.5322774561871606</c:v>
                </c:pt>
                <c:pt idx="7">
                  <c:v>2.5656566782609955</c:v>
                </c:pt>
                <c:pt idx="8">
                  <c:v>2.5706944722909526</c:v>
                </c:pt>
                <c:pt idx="9">
                  <c:v>3.0870325129221388</c:v>
                </c:pt>
                <c:pt idx="10">
                  <c:v>3.2293334365121589</c:v>
                </c:pt>
              </c:numCache>
            </c:numRef>
          </c:xVal>
          <c:yVal>
            <c:numRef>
              <c:f>'AGBP-09NXD0-I'!$R$2:$R$12</c:f>
              <c:numCache>
                <c:formatCode>0.00</c:formatCode>
                <c:ptCount val="11"/>
                <c:pt idx="0">
                  <c:v>-2.7587708079393853</c:v>
                </c:pt>
                <c:pt idx="1">
                  <c:v>-1.8233277251429048</c:v>
                </c:pt>
                <c:pt idx="2">
                  <c:v>-1.3082586023666756</c:v>
                </c:pt>
                <c:pt idx="3">
                  <c:v>-0.9354913227515631</c:v>
                </c:pt>
                <c:pt idx="4">
                  <c:v>-0.63204111417931419</c:v>
                </c:pt>
                <c:pt idx="5">
                  <c:v>-0.36651292058166435</c:v>
                </c:pt>
                <c:pt idx="6">
                  <c:v>-0.12098094098939045</c:v>
                </c:pt>
                <c:pt idx="7">
                  <c:v>0.11803236968142394</c:v>
                </c:pt>
                <c:pt idx="8">
                  <c:v>0.3648941809499211</c:v>
                </c:pt>
                <c:pt idx="9">
                  <c:v>0.64342376082057084</c:v>
                </c:pt>
                <c:pt idx="10">
                  <c:v>1.0261449235912583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5A-427B-B8F7-D22DB47D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351840"/>
        <c:axId val="1535350400"/>
      </c:scatterChart>
      <c:valAx>
        <c:axId val="153535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5350400"/>
        <c:crosses val="autoZero"/>
        <c:crossBetween val="midCat"/>
      </c:valAx>
      <c:valAx>
        <c:axId val="15353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3535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'AGBP-09NXD0-I'!$O$14</c:f>
              <c:strCache>
                <c:ptCount val="1"/>
                <c:pt idx="0">
                  <c:v>SILNIK_355</c:v>
                </c:pt>
              </c:strCache>
            </c:strRef>
          </c:tx>
          <c:spPr>
            <a:ln w="25400">
              <a:noFill/>
            </a:ln>
          </c:spPr>
          <c:xVal>
            <c:numRef>
              <c:f>'AGBP-09NXD0-I'!$Q$14:$Q$20</c:f>
              <c:numCache>
                <c:formatCode>0.00</c:formatCode>
                <c:ptCount val="7"/>
                <c:pt idx="0">
                  <c:v>-0.3712350952700621</c:v>
                </c:pt>
                <c:pt idx="1">
                  <c:v>0.32191208528988319</c:v>
                </c:pt>
                <c:pt idx="2">
                  <c:v>0.72737719339804763</c:v>
                </c:pt>
                <c:pt idx="3">
                  <c:v>1.621195069420144</c:v>
                </c:pt>
                <c:pt idx="4">
                  <c:v>1.671838802238899</c:v>
                </c:pt>
                <c:pt idx="5">
                  <c:v>3.005864734813033</c:v>
                </c:pt>
                <c:pt idx="6">
                  <c:v>3.0885306405431607</c:v>
                </c:pt>
              </c:numCache>
            </c:numRef>
          </c:xVal>
          <c:yVal>
            <c:numRef>
              <c:f>'AGBP-09NXD0-I'!$R$14:$R$20</c:f>
              <c:numCache>
                <c:formatCode>0.00</c:formatCode>
                <c:ptCount val="7"/>
                <c:pt idx="0">
                  <c:v>-2.3088801270783894</c:v>
                </c:pt>
                <c:pt idx="1">
                  <c:v>-1.3431819022975191</c:v>
                </c:pt>
                <c:pt idx="2">
                  <c:v>-0.78983983425403359</c:v>
                </c:pt>
                <c:pt idx="3">
                  <c:v>-0.36651292058166435</c:v>
                </c:pt>
                <c:pt idx="4">
                  <c:v>8.1945598938292404E-3</c:v>
                </c:pt>
                <c:pt idx="5">
                  <c:v>0.38584165418008665</c:v>
                </c:pt>
                <c:pt idx="6">
                  <c:v>0.85787950994316486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81-4831-B3C6-3341BD88F895}"/>
            </c:ext>
          </c:extLst>
        </c:ser>
        <c:ser>
          <c:idx val="0"/>
          <c:order val="1"/>
          <c:tx>
            <c:strRef>
              <c:f>'AGBP-09NXD0-I'!$O$14</c:f>
              <c:strCache>
                <c:ptCount val="1"/>
                <c:pt idx="0">
                  <c:v>SILNIK_355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pl-PL"/>
                </a:p>
              </c:txPr>
            </c:trendlineLbl>
          </c:trendline>
          <c:xVal>
            <c:numRef>
              <c:f>'AGBP-09NXD0-I'!$Q$14:$Q$20</c:f>
              <c:numCache>
                <c:formatCode>0.00</c:formatCode>
                <c:ptCount val="7"/>
                <c:pt idx="0">
                  <c:v>-0.3712350952700621</c:v>
                </c:pt>
                <c:pt idx="1">
                  <c:v>0.32191208528988319</c:v>
                </c:pt>
                <c:pt idx="2">
                  <c:v>0.72737719339804763</c:v>
                </c:pt>
                <c:pt idx="3">
                  <c:v>1.621195069420144</c:v>
                </c:pt>
                <c:pt idx="4">
                  <c:v>1.671838802238899</c:v>
                </c:pt>
                <c:pt idx="5">
                  <c:v>3.005864734813033</c:v>
                </c:pt>
                <c:pt idx="6">
                  <c:v>3.0885306405431607</c:v>
                </c:pt>
              </c:numCache>
            </c:numRef>
          </c:xVal>
          <c:yVal>
            <c:numRef>
              <c:f>'AGBP-09NXD0-I'!$R$14:$R$20</c:f>
              <c:numCache>
                <c:formatCode>0.00</c:formatCode>
                <c:ptCount val="7"/>
                <c:pt idx="0">
                  <c:v>-2.3088801270783894</c:v>
                </c:pt>
                <c:pt idx="1">
                  <c:v>-1.3431819022975191</c:v>
                </c:pt>
                <c:pt idx="2">
                  <c:v>-0.78983983425403359</c:v>
                </c:pt>
                <c:pt idx="3">
                  <c:v>-0.36651292058166435</c:v>
                </c:pt>
                <c:pt idx="4">
                  <c:v>8.1945598938292404E-3</c:v>
                </c:pt>
                <c:pt idx="5">
                  <c:v>0.38584165418008665</c:v>
                </c:pt>
                <c:pt idx="6">
                  <c:v>0.85787950994316486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81-4831-B3C6-3341BD88F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294176"/>
        <c:axId val="1440294656"/>
      </c:scatterChart>
      <c:valAx>
        <c:axId val="144029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l-PL"/>
          </a:p>
        </c:txPr>
        <c:crossAx val="1440294656"/>
        <c:crosses val="autoZero"/>
        <c:crossBetween val="midCat"/>
      </c:valAx>
      <c:valAx>
        <c:axId val="14402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l-PL"/>
          </a:p>
        </c:txPr>
        <c:crossAx val="144029417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b="1"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'AGBP-09NXD0-I'!$O$23</c:f>
              <c:strCache>
                <c:ptCount val="1"/>
                <c:pt idx="0">
                  <c:v>WEWNETRZNA_154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'AGBP-09NXD0-I'!$Q$23:$Q$26</c:f>
              <c:numCache>
                <c:formatCode>0.00</c:formatCode>
                <c:ptCount val="4"/>
                <c:pt idx="0">
                  <c:v>0.69511633117982619</c:v>
                </c:pt>
                <c:pt idx="1">
                  <c:v>1.6962302553630582</c:v>
                </c:pt>
                <c:pt idx="2">
                  <c:v>1.8469326559114003</c:v>
                </c:pt>
                <c:pt idx="3">
                  <c:v>2.4335672469533738</c:v>
                </c:pt>
              </c:numCache>
            </c:numRef>
          </c:xVal>
          <c:yVal>
            <c:numRef>
              <c:f>'AGBP-09NXD0-I'!$R$23:$R$26</c:f>
              <c:numCache>
                <c:formatCode>0.00</c:formatCode>
                <c:ptCount val="4"/>
                <c:pt idx="0">
                  <c:v>-1.752894273451838</c:v>
                </c:pt>
                <c:pt idx="1">
                  <c:v>-0.71671724921501978</c:v>
                </c:pt>
                <c:pt idx="2">
                  <c:v>-5.0266148543505945E-2</c:v>
                </c:pt>
                <c:pt idx="3">
                  <c:v>0.60883007160268721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7-483E-88BB-D3CA86C6D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325712"/>
        <c:axId val="1689326672"/>
      </c:scatterChart>
      <c:valAx>
        <c:axId val="168932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89326672"/>
        <c:crosses val="autoZero"/>
        <c:crossBetween val="midCat"/>
      </c:valAx>
      <c:valAx>
        <c:axId val="16893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8932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'PCB w BLANC PRO'!$R$1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'PCB w BLANC PRO'!$Q$2:$Q$37</c:f>
              <c:numCache>
                <c:formatCode>General</c:formatCode>
                <c:ptCount val="36"/>
                <c:pt idx="0">
                  <c:v>-1.1131724399994394</c:v>
                </c:pt>
                <c:pt idx="1">
                  <c:v>-0.77670020337822654</c:v>
                </c:pt>
                <c:pt idx="2">
                  <c:v>1.8229671491661201E-2</c:v>
                </c:pt>
                <c:pt idx="3">
                  <c:v>0.22182862673290069</c:v>
                </c:pt>
                <c:pt idx="4">
                  <c:v>0.66177991091223431</c:v>
                </c:pt>
                <c:pt idx="5">
                  <c:v>0.7113768520516065</c:v>
                </c:pt>
                <c:pt idx="6">
                  <c:v>0.74312555036618677</c:v>
                </c:pt>
                <c:pt idx="7">
                  <c:v>1.1060310440555552</c:v>
                </c:pt>
                <c:pt idx="8">
                  <c:v>1.5400695246077756</c:v>
                </c:pt>
                <c:pt idx="9">
                  <c:v>1.6404882723548229</c:v>
                </c:pt>
                <c:pt idx="10">
                  <c:v>1.6468375000334816</c:v>
                </c:pt>
                <c:pt idx="11">
                  <c:v>1.7882491540833103</c:v>
                </c:pt>
                <c:pt idx="12">
                  <c:v>1.8365158950531448</c:v>
                </c:pt>
                <c:pt idx="13">
                  <c:v>1.9023624608507312</c:v>
                </c:pt>
                <c:pt idx="14">
                  <c:v>1.9641398205469744</c:v>
                </c:pt>
                <c:pt idx="15">
                  <c:v>2.1096954061382989</c:v>
                </c:pt>
                <c:pt idx="16">
                  <c:v>2.2575657341780073</c:v>
                </c:pt>
                <c:pt idx="17">
                  <c:v>2.4841398205890064</c:v>
                </c:pt>
                <c:pt idx="18">
                  <c:v>2.5322774561871606</c:v>
                </c:pt>
                <c:pt idx="19">
                  <c:v>2.5374858012942991</c:v>
                </c:pt>
                <c:pt idx="20">
                  <c:v>2.5656566782609955</c:v>
                </c:pt>
                <c:pt idx="21">
                  <c:v>2.5706944722909526</c:v>
                </c:pt>
                <c:pt idx="22">
                  <c:v>2.6800670294387396</c:v>
                </c:pt>
                <c:pt idx="23">
                  <c:v>2.7176405100031635</c:v>
                </c:pt>
                <c:pt idx="24">
                  <c:v>2.7663273737231466</c:v>
                </c:pt>
                <c:pt idx="25">
                  <c:v>2.7847516410492048</c:v>
                </c:pt>
                <c:pt idx="26">
                  <c:v>2.8419100548891536</c:v>
                </c:pt>
                <c:pt idx="27">
                  <c:v>2.8941607452330316</c:v>
                </c:pt>
                <c:pt idx="28">
                  <c:v>3.0627521092150842</c:v>
                </c:pt>
                <c:pt idx="29">
                  <c:v>3.0870325129221388</c:v>
                </c:pt>
                <c:pt idx="30">
                  <c:v>3.1704141218611896</c:v>
                </c:pt>
                <c:pt idx="31">
                  <c:v>3.1745435152032009</c:v>
                </c:pt>
                <c:pt idx="32">
                  <c:v>3.1989680672102758</c:v>
                </c:pt>
                <c:pt idx="33">
                  <c:v>3.2293334365121589</c:v>
                </c:pt>
                <c:pt idx="34">
                  <c:v>3.2524707154239181</c:v>
                </c:pt>
                <c:pt idx="35">
                  <c:v>3.306872261861963</c:v>
                </c:pt>
              </c:numCache>
            </c:numRef>
          </c:xVal>
          <c:yVal>
            <c:numRef>
              <c:f>'PCB w BLANC PRO'!$R$2:$R$37</c:f>
              <c:numCache>
                <c:formatCode>General</c:formatCode>
                <c:ptCount val="36"/>
                <c:pt idx="0">
                  <c:v>-3.9415503865226063</c:v>
                </c:pt>
                <c:pt idx="1">
                  <c:v>-3.0401212954864461</c:v>
                </c:pt>
                <c:pt idx="2">
                  <c:v>-2.5630290177976645</c:v>
                </c:pt>
                <c:pt idx="3">
                  <c:v>-2.233117831146116</c:v>
                </c:pt>
                <c:pt idx="4">
                  <c:v>-1.9786764939604853</c:v>
                </c:pt>
                <c:pt idx="5">
                  <c:v>-1.7701577550857879</c:v>
                </c:pt>
                <c:pt idx="6">
                  <c:v>-1.5924739729807613</c:v>
                </c:pt>
                <c:pt idx="7">
                  <c:v>-1.436865171815882</c:v>
                </c:pt>
                <c:pt idx="8">
                  <c:v>-1.2977841160133732</c:v>
                </c:pt>
                <c:pt idx="9">
                  <c:v>-1.1714888049186396</c:v>
                </c:pt>
                <c:pt idx="10">
                  <c:v>-1.0553293105580512</c:v>
                </c:pt>
                <c:pt idx="11">
                  <c:v>-0.94735442354642807</c:v>
                </c:pt>
                <c:pt idx="12">
                  <c:v>-0.84607990722294912</c:v>
                </c:pt>
                <c:pt idx="13">
                  <c:v>-0.75034450071013647</c:v>
                </c:pt>
                <c:pt idx="14">
                  <c:v>-0.65921636872620304</c:v>
                </c:pt>
                <c:pt idx="15">
                  <c:v>-0.57192991640677959</c:v>
                </c:pt>
                <c:pt idx="16">
                  <c:v>-0.48784156113775179</c:v>
                </c:pt>
                <c:pt idx="17">
                  <c:v>-0.40639766663249632</c:v>
                </c:pt>
                <c:pt idx="18">
                  <c:v>-0.32711040653622575</c:v>
                </c:pt>
                <c:pt idx="19">
                  <c:v>-0.24953879180256794</c:v>
                </c:pt>
                <c:pt idx="20">
                  <c:v>-0.1732729444993516</c:v>
                </c:pt>
                <c:pt idx="21">
                  <c:v>-9.79201739338873E-2</c:v>
                </c:pt>
                <c:pt idx="22">
                  <c:v>-2.3091629494177084E-2</c:v>
                </c:pt>
                <c:pt idx="23">
                  <c:v>5.1611685814862106E-2</c:v>
                </c:pt>
                <c:pt idx="24">
                  <c:v>0.12661497045899217</c:v>
                </c:pt>
                <c:pt idx="25">
                  <c:v>0.20238969881741919</c:v>
                </c:pt>
                <c:pt idx="26">
                  <c:v>0.27948069979771573</c:v>
                </c:pt>
                <c:pt idx="27">
                  <c:v>0.35854521817253066</c:v>
                </c:pt>
                <c:pt idx="28">
                  <c:v>0.44041288846700422</c:v>
                </c:pt>
                <c:pt idx="29">
                  <c:v>0.52618382938014796</c:v>
                </c:pt>
                <c:pt idx="30">
                  <c:v>0.61740080531161068</c:v>
                </c:pt>
                <c:pt idx="31">
                  <c:v>0.7163783677036234</c:v>
                </c:pt>
                <c:pt idx="32">
                  <c:v>0.82690677745311947</c:v>
                </c:pt>
                <c:pt idx="33">
                  <c:v>0.95601785586920818</c:v>
                </c:pt>
                <c:pt idx="34">
                  <c:v>1.1197018403258845</c:v>
                </c:pt>
                <c:pt idx="35">
                  <c:v>1.3740303948169568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A-4234-BCFC-4CEB6FAA1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480736"/>
        <c:axId val="1484481216"/>
      </c:scatterChart>
      <c:valAx>
        <c:axId val="148448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4481216"/>
        <c:crosses val="autoZero"/>
        <c:crossBetween val="midCat"/>
      </c:valAx>
      <c:valAx>
        <c:axId val="148448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8448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25</xdr:row>
      <xdr:rowOff>85725</xdr:rowOff>
    </xdr:from>
    <xdr:to>
      <xdr:col>1</xdr:col>
      <xdr:colOff>1877126</xdr:colOff>
      <xdr:row>40</xdr:row>
      <xdr:rowOff>171861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A475E96-CBB5-C563-BFC2-11D7CE1A7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33725"/>
          <a:ext cx="5020376" cy="2943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26</xdr:row>
      <xdr:rowOff>109537</xdr:rowOff>
    </xdr:from>
    <xdr:to>
      <xdr:col>3</xdr:col>
      <xdr:colOff>1162050</xdr:colOff>
      <xdr:row>40</xdr:row>
      <xdr:rowOff>176212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0C3CBB5-1126-B6DF-8965-A74B43FA6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104775</xdr:colOff>
      <xdr:row>26</xdr:row>
      <xdr:rowOff>109537</xdr:rowOff>
    </xdr:from>
    <xdr:to>
      <xdr:col>15</xdr:col>
      <xdr:colOff>371475</xdr:colOff>
      <xdr:row>40</xdr:row>
      <xdr:rowOff>176212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BA72C57-D7A9-FB0E-E9BC-3CCE60276EF6}"/>
            </a:ext>
            <a:ext uri="{147F2762-F138-4A5C-976F-8EAC2B608ADB}">
              <a16:predDERef xmlns:a16="http://schemas.microsoft.com/office/drawing/2014/main" pred="{70C3CBB5-1126-B6DF-8965-A74B43FA6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514350</xdr:colOff>
      <xdr:row>26</xdr:row>
      <xdr:rowOff>128587</xdr:rowOff>
    </xdr:from>
    <xdr:to>
      <xdr:col>25</xdr:col>
      <xdr:colOff>104775</xdr:colOff>
      <xdr:row>41</xdr:row>
      <xdr:rowOff>4762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763C1B31-2AE7-97B9-0AA0-282D02B4D850}"/>
            </a:ext>
            <a:ext uri="{147F2762-F138-4A5C-976F-8EAC2B608ADB}">
              <a16:predDERef xmlns:a16="http://schemas.microsoft.com/office/drawing/2014/main" pred="{5BA72C57-D7A9-FB0E-E9BC-3CCE60276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504825</xdr:colOff>
      <xdr:row>0</xdr:row>
      <xdr:rowOff>233362</xdr:rowOff>
    </xdr:from>
    <xdr:to>
      <xdr:col>34</xdr:col>
      <xdr:colOff>200025</xdr:colOff>
      <xdr:row>13</xdr:row>
      <xdr:rowOff>119062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6C79792-359C-DCD3-1AEF-8612945F1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96" totalsRowShown="0" headerRowDxfId="63">
  <autoFilter ref="A1:P96" xr:uid="{00000000-0009-0000-0100-000001000000}">
    <filterColumn colId="7">
      <filters>
        <filter val="MI/AGBP-12NXD0-I"/>
      </filters>
    </filterColumn>
  </autoFilter>
  <sortState xmlns:xlrd2="http://schemas.microsoft.com/office/spreadsheetml/2017/richdata2" ref="A11:P80">
    <sortCondition descending="1" ref="A1:A96"/>
  </sortState>
  <tableColumns count="16">
    <tableColumn id="1" xr3:uid="{00000000-0010-0000-0000-000001000000}" name="Data awarii D(a)"/>
    <tableColumn id="5" xr3:uid="{BA93D029-DA56-4AF1-AE22-C302BC4109BC}" name="Data sprzedaży D(s)" dataDxfId="62"/>
    <tableColumn id="12" xr3:uid="{705AAA61-1A0E-4FD3-99EB-190404B3239A}" name="Czas do awarii Ti" dataDxfId="61">
      <calculatedColumnFormula>(_xlfn.DAYS(Table1[[#This Row],[Data awarii D(a)]],Table1[[#This Row],[Data sprzedaży D(s)]]))/30.44</calculatedColumnFormula>
    </tableColumn>
    <tableColumn id="3" xr3:uid="{00000000-0010-0000-0000-000003000000}" name="Nr zlecenia serwisowego"/>
    <tableColumn id="4" xr3:uid="{00000000-0010-0000-0000-000004000000}" name="Nr nabywcy"/>
    <tableColumn id="6" xr3:uid="{00000000-0010-0000-0000-000006000000}" name="Nr dokumentu"/>
    <tableColumn id="7" xr3:uid="{00000000-0010-0000-0000-000007000000}" name="Nr przedm. serwisu (serwisow.)"/>
    <tableColumn id="8" xr3:uid="{00000000-0010-0000-0000-000008000000}" name="Model urządzenia M"/>
    <tableColumn id="9" xr3:uid="{00000000-0010-0000-0000-000009000000}" name="Nr seryjny SN"/>
    <tableColumn id="10" xr3:uid="{00000000-0010-0000-0000-00000A000000}" name="Base Group A - Serviced"/>
    <tableColumn id="11" xr3:uid="{00000000-0010-0000-0000-00000B000000}" name="Base Group B- Serviced"/>
    <tableColumn id="13" xr3:uid="{00000000-0010-0000-0000-00000D000000}" name="Nr C"/>
    <tableColumn id="14" xr3:uid="{00000000-0010-0000-0000-00000E000000}" name="Base GroupA"/>
    <tableColumn id="16" xr3:uid="{00000000-0010-0000-0000-000010000000}" name="Base GroupB Cn"/>
    <tableColumn id="18" xr3:uid="{00000000-0010-0000-0000-000012000000}" name="Koszt jednostkowy"/>
    <tableColumn id="19" xr3:uid="{00000000-0010-0000-0000-000013000000}" name="Ilość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D744F-1F62-432F-A67D-E53FD2E9B155}" name="Tabela3" displayName="Tabela3" ref="A1:I14" totalsRowShown="0" headerRowDxfId="59">
  <autoFilter ref="A1:I14" xr:uid="{B4FD744F-1F62-432F-A67D-E53FD2E9B155}"/>
  <tableColumns count="9">
    <tableColumn id="1" xr3:uid="{D8F17F60-33E1-4450-BB0F-740AFBC748E0}" name="Model urządzenia M" dataDxfId="58"/>
    <tableColumn id="2" xr3:uid="{E28F1C30-720D-4541-A271-518A635806A0}" name="2022" dataDxfId="57"/>
    <tableColumn id="3" xr3:uid="{DFC40658-2DAD-405A-9DFA-6A93DC6095ED}" name="2023" dataDxfId="56"/>
    <tableColumn id="4" xr3:uid="{2CA37992-87F5-492A-9C48-F777FB06C155}" name="2024(NAV)" dataDxfId="55"/>
    <tableColumn id="7" xr3:uid="{52330CE0-6A00-460A-84DF-BFC9FBF2C907}" name="2024(BC)" dataDxfId="54"/>
    <tableColumn id="6" xr3:uid="{E0ADDD28-E03B-4834-878C-AE223ACB5144}" name="2025" dataDxfId="53"/>
    <tableColumn id="5" xr3:uid="{81190763-688F-461F-96D6-06DF2ACF707D}" name="W rynku" dataDxfId="52">
      <calculatedColumnFormula>SUM(Tabela3[[#This Row],[2022]:[2025]])</calculatedColumnFormula>
    </tableColumn>
    <tableColumn id="8" xr3:uid="{2B1E674F-528E-4B14-9E2D-06EFD6E4E349}" name="Ilość awarii" dataDxfId="51">
      <calculatedColumnFormula>COUNTIF(awarie!H:H,Tabela3[[#This Row],[Model urządzenia M]])</calculatedColumnFormula>
    </tableColumn>
    <tableColumn id="9" xr3:uid="{79576F27-ECEE-419D-9467-65513EC1568F}" name="Awaryjność" dataDxfId="50" dataCellStyle="Procentowy">
      <calculatedColumnFormula>Tabela3[[#This Row],[Ilość awarii]]/Tabela3[[#This Row],[W rynku]]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D7929C-734A-4BD4-9345-57C4D3B622AF}" name="Tabela4" displayName="Tabela4" ref="A1:Z26" totalsRowShown="0" headerRowDxfId="49" headerRowBorderDxfId="48" tableBorderDxfId="47" totalsRowBorderDxfId="46">
  <autoFilter ref="A1:Z26" xr:uid="{AFD7929C-734A-4BD4-9345-57C4D3B622AF}"/>
  <sortState xmlns:xlrd2="http://schemas.microsoft.com/office/spreadsheetml/2017/richdata2" ref="A2:X26">
    <sortCondition ref="O1:O26"/>
  </sortState>
  <tableColumns count="26">
    <tableColumn id="17" xr3:uid="{68AA19CA-8A88-4C25-89C5-B6107D3B7C7A}" name="Nr porządkowy"/>
    <tableColumn id="1" xr3:uid="{2EAA1C51-806E-427A-BF48-B4029D4C4374}" name="Data awarii D(a)" dataDxfId="45"/>
    <tableColumn id="2" xr3:uid="{1BFBDF4D-42BC-4243-900A-8F850509BC34}" name="Data sprzedaży D(s)" dataDxfId="44"/>
    <tableColumn id="3" xr3:uid="{A8DC17CF-4C64-4C5F-BB2D-47603AFC5E6A}" name="Czas do awarii Ti" dataDxfId="43"/>
    <tableColumn id="4" xr3:uid="{4DBCCBC4-22CD-4626-8325-1AB7981FBAA0}" name="Nr zlecenia serwisowego" dataDxfId="42"/>
    <tableColumn id="5" xr3:uid="{CDFF4AE5-A479-4FB1-A24D-E7E6F5C3B681}" name="Nr nabywcy"/>
    <tableColumn id="6" xr3:uid="{7BFB503C-FF99-4369-A612-4FB7B0CD4F7D}" name="Nr dokumentu"/>
    <tableColumn id="7" xr3:uid="{C0B34AEE-25F7-4828-8082-0D2991BF0CD5}" name="Nr przedm. serwisu (serwisow.)"/>
    <tableColumn id="8" xr3:uid="{AB0BFE7C-9FEB-4C4F-B363-4646EE0D3130}" name="Model urządzenia M" dataDxfId="41"/>
    <tableColumn id="9" xr3:uid="{EA53FD1F-DD7E-4321-91B6-4F8B11FEF7FE}" name="Nr seryjny SN" dataDxfId="40"/>
    <tableColumn id="10" xr3:uid="{1A518668-373F-452A-9C86-EAC0FB0FE57B}" name="Base Group A - Serviced" dataDxfId="39"/>
    <tableColumn id="11" xr3:uid="{5E39FF0E-00FB-4E61-8B35-9D299D4F269E}" name="Base Group B- Serviced" dataDxfId="38"/>
    <tableColumn id="12" xr3:uid="{22BDFD39-3220-4F67-9CC2-A130EDA9D283}" name="Nr C"/>
    <tableColumn id="13" xr3:uid="{D1B89E7E-5401-4DFE-84D3-D85B855221B7}" name="Base GroupA" dataDxfId="37"/>
    <tableColumn id="14" xr3:uid="{E86B6A4C-3957-470C-9969-3C4773E241E2}" name="Base GroupB Cn" dataDxfId="36"/>
    <tableColumn id="18" xr3:uid="{4E69AFD0-EA90-4026-87EE-A628571E5D49}" name="Empiryczne prawdopodobieństwo awarii (Fi)" dataDxfId="35"/>
    <tableColumn id="19" xr3:uid="{C4235532-B652-4416-BC7B-D00EC8663274}" name="X" dataDxfId="34">
      <calculatedColumnFormula>LN(Tabela4[[#This Row],[Czas do awarii Ti]])</calculatedColumnFormula>
    </tableColumn>
    <tableColumn id="20" xr3:uid="{48200179-6E5E-4CEB-A036-F1F79DCA0BA0}" name="Y" dataDxfId="33">
      <calculatedColumnFormula>LN(-LN(1-Tabela4[[#This Row],[Empiryczne prawdopodobieństwo awarii (Fi)]]))</calculatedColumnFormula>
    </tableColumn>
    <tableColumn id="23" xr3:uid="{1C86D99C-3B1E-475F-BD8D-7C4A93E960C0}" name="a" dataDxfId="32"/>
    <tableColumn id="25" xr3:uid="{A0C51F6A-F7CD-400C-B2D0-B61A0EC61FE8}" name="a wzor" dataDxfId="31">
      <calculatedColumnFormula array="1">ROUND(SLOPE(_xlfn._xlws.FILTER(Tabela4[Y],$O$2:$O$26=Tabela4[[#This Row],[Base GroupB Cn]]),_xlfn._xlws.FILTER(Tabela4[X],$O$2:$O$26=Tabela4[[#This Row],[Base GroupB Cn]])),4)</calculatedColumnFormula>
    </tableColumn>
    <tableColumn id="22" xr3:uid="{71617B1B-C64F-4383-8CCB-AE2BC1B65843}" name="b" dataDxfId="30"/>
    <tableColumn id="26" xr3:uid="{6B7E9B42-5802-4EBC-8A50-1025ABB77083}" name="b wzor" dataDxfId="29">
      <calculatedColumnFormula array="1">ROUND(INTERCEPT(_xlfn._xlws.FILTER(Tabela4[Y],$O$2:$O$26=Tabela4[[#This Row],[Base GroupB Cn]]),_xlfn._xlws.FILTER(Tabela4[X],$O$2:$O$26=Tabela4[[#This Row],[Base GroupB Cn]])),4)</calculatedColumnFormula>
    </tableColumn>
    <tableColumn id="15" xr3:uid="{2AFC8606-8C07-4E3C-AD9A-4C3DF7769DF9}" name="ß">
      <calculatedColumnFormula>Tabela4[[#This Row],[a]]</calculatedColumnFormula>
    </tableColumn>
    <tableColumn id="16" xr3:uid="{03213C83-56BB-4DB4-A4C9-E64F449DC8B0}" name="η" dataDxfId="28">
      <calculatedColumnFormula>EXP(-Tabela4[[#This Row],[b]]/Tabela4[[#This Row],[a]])</calculatedColumnFormula>
    </tableColumn>
    <tableColumn id="21" xr3:uid="{E9F65D5A-12CC-49F1-B4E4-4599E2693909}" name="Prawdopodobieństwo wystąpienia awarii F(t)" dataDxfId="27">
      <calculatedColumnFormula>1-EXP(-(('dane źródłowe'!$C$9/Tabela4[[#This Row],[η]])^Tabela4[[#This Row],[ß]]))</calculatedColumnFormula>
    </tableColumn>
    <tableColumn id="24" xr3:uid="{8EC9989D-A7C9-46E0-A62F-84C19E58AA7A}" name="Zapotrzebowani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EEBC48-6599-43D7-ACD0-1A50DB16CB3A}" name="Tabela2" displayName="Tabela2" ref="A1:W37" totalsRowShown="0" headerRowDxfId="26">
  <autoFilter ref="A1:W37" xr:uid="{B0EEBC48-6599-43D7-ACD0-1A50DB16CB3A}"/>
  <sortState xmlns:xlrd2="http://schemas.microsoft.com/office/spreadsheetml/2017/richdata2" ref="A2:O37">
    <sortCondition ref="B1:B37"/>
  </sortState>
  <tableColumns count="23">
    <tableColumn id="1" xr3:uid="{EDAED76A-D4B9-42BA-A04E-2F500D3EBAF4}" name="lp" dataDxfId="25"/>
    <tableColumn id="3" xr3:uid="{3F2DED26-B70F-44DA-A35F-14487A5BBBD5}" name="Czas do awarii Ti" dataDxfId="24"/>
    <tableColumn id="4" xr3:uid="{0FBFB30D-B9BC-4F73-88AE-268797C6C165}" name="Nr zlecenia serwisowego" dataDxfId="23"/>
    <tableColumn id="5" xr3:uid="{A4B02C9F-274D-4295-A6D6-50562C3F37A1}" name="Nr nabywcy" dataDxfId="22"/>
    <tableColumn id="6" xr3:uid="{0B48FAD1-C83B-4385-B998-727FCCC448F6}" name="Nr dokumentu" dataDxfId="21"/>
    <tableColumn id="7" xr3:uid="{67C64F0D-C65B-4902-B06C-D1C1E8F0141C}" name="Nr przedm. serwisu (serwisow.)" dataDxfId="20"/>
    <tableColumn id="8" xr3:uid="{9A533D55-5493-4C04-9B34-349F4F23E665}" name="Model urządzenia M" dataDxfId="19"/>
    <tableColumn id="9" xr3:uid="{0CA3B146-946C-45A6-A9D9-5CECF69F55B7}" name="Nr seryjny SN" dataDxfId="18"/>
    <tableColumn id="10" xr3:uid="{6B9DB363-9F13-4D1F-A60A-C8F3AA9E1AC8}" name="Base Group A - Serviced" dataDxfId="17"/>
    <tableColumn id="11" xr3:uid="{622C68AD-56D9-4C99-B211-0EF0E5988B89}" name="Base Group B- Serviced" dataDxfId="16"/>
    <tableColumn id="12" xr3:uid="{08E5AF58-7E47-43FD-9B65-46FAF64BC83F}" name="Nr C" dataDxfId="15"/>
    <tableColumn id="13" xr3:uid="{1BB3C8B2-60E0-4E0D-A0EC-F4250E1C6890}" name="Base GroupA" dataDxfId="14"/>
    <tableColumn id="14" xr3:uid="{05C1FBD6-708D-4B7C-8F23-DFAE554C4EF2}" name="Base GroupB Cn" dataDxfId="13"/>
    <tableColumn id="15" xr3:uid="{9FF5CB2D-5610-4492-87B7-EA230802C9A4}" name="Koszt jednostkowy" dataDxfId="12"/>
    <tableColumn id="16" xr3:uid="{CD8231D4-820C-4FAC-81D5-D55707147D9B}" name="Ilość" dataDxfId="11"/>
    <tableColumn id="17" xr3:uid="{9B42837A-E782-457A-8454-8815C7733C84}" name="Empiryczne prawdopodobieństwo awarii (Fi)" dataDxfId="10">
      <calculatedColumnFormula>(Tabela2[[#This Row],[lp]]-0.3)/($A$37+0.4)</calculatedColumnFormula>
    </tableColumn>
    <tableColumn id="18" xr3:uid="{8D9E0242-3061-4243-AE69-9FD3C3BE4FEB}" name="X" dataDxfId="9">
      <calculatedColumnFormula>LN(Tabela2[[#This Row],[Czas do awarii Ti]])</calculatedColumnFormula>
    </tableColumn>
    <tableColumn id="19" xr3:uid="{9E2B22A3-B609-42EB-A601-9F23087F1000}" name="Y" dataDxfId="8">
      <calculatedColumnFormula>LN(-LN(1-Tabela2[[#This Row],[Empiryczne prawdopodobieństwo awarii (Fi)]]))</calculatedColumnFormula>
    </tableColumn>
    <tableColumn id="20" xr3:uid="{A7DA88C9-2084-4433-B029-1CA6ED7621C7}" name="a" dataDxfId="7"/>
    <tableColumn id="21" xr3:uid="{4F0BF871-F04D-43B3-98EF-AE7D0695514D}" name="b" dataDxfId="6"/>
    <tableColumn id="22" xr3:uid="{083198E6-83A9-4A8A-8717-3A03150CEE03}" name="ß" dataDxfId="5">
      <calculatedColumnFormula>Tabela2[[#This Row],[a]]</calculatedColumnFormula>
    </tableColumn>
    <tableColumn id="23" xr3:uid="{46AC3C1D-8774-4272-B848-BA3CFAF43B27}" name="η" dataDxfId="4">
      <calculatedColumnFormula>EXP(-Tabela2[[#This Row],[b]]/Tabela2[[#This Row],[a]])</calculatedColumnFormula>
    </tableColumn>
    <tableColumn id="24" xr3:uid="{EDF37ABA-8888-4D28-A7D3-3DC9EDBDEDF0}" name="Prawdopodobieństwo wystąpienia awarii F(t)" dataDxfId="3">
      <calculatedColumnFormula>1-EXP(-(('dane źródłowe'!$C$9/Tabela2[[#This Row],[η]])^Tabela2[[#This Row],[ß]]))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C1E7-BA2B-480A-84FC-A5AB518936D3}">
  <dimension ref="A1:C51"/>
  <sheetViews>
    <sheetView workbookViewId="0">
      <selection activeCell="C19" sqref="C19"/>
    </sheetView>
  </sheetViews>
  <sheetFormatPr defaultRowHeight="15" x14ac:dyDescent="0.25"/>
  <cols>
    <col min="1" max="1" width="50.5703125" customWidth="1"/>
    <col min="2" max="2" width="29.42578125" bestFit="1" customWidth="1"/>
    <col min="3" max="3" width="22.140625" customWidth="1"/>
  </cols>
  <sheetData>
    <row r="1" spans="1:3" x14ac:dyDescent="0.25">
      <c r="A1" s="24" t="s">
        <v>0</v>
      </c>
      <c r="B1" s="83" t="s">
        <v>1</v>
      </c>
    </row>
    <row r="3" spans="1:3" x14ac:dyDescent="0.25">
      <c r="A3" t="s">
        <v>2</v>
      </c>
    </row>
    <row r="4" spans="1:3" x14ac:dyDescent="0.25">
      <c r="A4" s="83" t="s">
        <v>3</v>
      </c>
      <c r="B4" s="83" t="s">
        <v>4</v>
      </c>
    </row>
    <row r="5" spans="1:3" x14ac:dyDescent="0.25">
      <c r="A5" s="81" t="s">
        <v>5</v>
      </c>
      <c r="B5" t="s">
        <v>6</v>
      </c>
      <c r="C5" t="s">
        <v>7</v>
      </c>
    </row>
    <row r="6" spans="1:3" x14ac:dyDescent="0.25">
      <c r="A6" s="82" t="s">
        <v>8</v>
      </c>
      <c r="B6" t="s">
        <v>9</v>
      </c>
      <c r="C6" t="s">
        <v>10</v>
      </c>
    </row>
    <row r="7" spans="1:3" x14ac:dyDescent="0.25">
      <c r="A7" s="82" t="s">
        <v>11</v>
      </c>
      <c r="B7" t="s">
        <v>12</v>
      </c>
      <c r="C7" t="s">
        <v>13</v>
      </c>
    </row>
    <row r="8" spans="1:3" x14ac:dyDescent="0.25">
      <c r="A8" s="82" t="s">
        <v>14</v>
      </c>
      <c r="B8" t="s">
        <v>14</v>
      </c>
      <c r="C8" t="s">
        <v>14</v>
      </c>
    </row>
    <row r="9" spans="1:3" x14ac:dyDescent="0.25">
      <c r="A9" s="82" t="s">
        <v>15</v>
      </c>
      <c r="B9" t="s">
        <v>15</v>
      </c>
      <c r="C9" t="s">
        <v>15</v>
      </c>
    </row>
    <row r="10" spans="1:3" x14ac:dyDescent="0.25">
      <c r="A10" s="82" t="s">
        <v>16</v>
      </c>
      <c r="B10" t="s">
        <v>17</v>
      </c>
      <c r="C10" t="s">
        <v>18</v>
      </c>
    </row>
    <row r="11" spans="1:3" x14ac:dyDescent="0.25">
      <c r="A11" s="82" t="s">
        <v>19</v>
      </c>
      <c r="B11" t="s">
        <v>19</v>
      </c>
      <c r="C11" t="s">
        <v>19</v>
      </c>
    </row>
    <row r="12" spans="1:3" x14ac:dyDescent="0.25">
      <c r="A12" s="82" t="s">
        <v>20</v>
      </c>
      <c r="B12" t="s">
        <v>21</v>
      </c>
      <c r="C12" t="s">
        <v>21</v>
      </c>
    </row>
    <row r="14" spans="1:3" x14ac:dyDescent="0.25">
      <c r="A14" t="s">
        <v>22</v>
      </c>
    </row>
    <row r="18" spans="1:3" x14ac:dyDescent="0.25">
      <c r="A18" s="24" t="s">
        <v>23</v>
      </c>
      <c r="B18" t="s">
        <v>24</v>
      </c>
      <c r="C18" t="s">
        <v>25</v>
      </c>
    </row>
    <row r="19" spans="1:3" x14ac:dyDescent="0.25">
      <c r="A19" s="24"/>
    </row>
    <row r="20" spans="1:3" x14ac:dyDescent="0.25">
      <c r="A20" t="s">
        <v>2</v>
      </c>
    </row>
    <row r="21" spans="1:3" x14ac:dyDescent="0.25">
      <c r="A21" s="83" t="s">
        <v>3</v>
      </c>
      <c r="B21" s="83" t="s">
        <v>4</v>
      </c>
    </row>
    <row r="22" spans="1:3" x14ac:dyDescent="0.25">
      <c r="A22" s="82" t="s">
        <v>26</v>
      </c>
      <c r="B22" t="s">
        <v>6</v>
      </c>
      <c r="C22" t="s">
        <v>7</v>
      </c>
    </row>
    <row r="23" spans="1:3" x14ac:dyDescent="0.25">
      <c r="A23" s="84"/>
    </row>
    <row r="24" spans="1:3" x14ac:dyDescent="0.25">
      <c r="A24" t="s">
        <v>27</v>
      </c>
    </row>
    <row r="44" spans="1:3" x14ac:dyDescent="0.25">
      <c r="A44" s="24" t="s">
        <v>28</v>
      </c>
    </row>
    <row r="45" spans="1:3" x14ac:dyDescent="0.25">
      <c r="A45" s="83" t="s">
        <v>3</v>
      </c>
      <c r="B45" s="83" t="s">
        <v>4</v>
      </c>
    </row>
    <row r="46" spans="1:3" x14ac:dyDescent="0.25">
      <c r="A46" t="s">
        <v>8</v>
      </c>
      <c r="B46" t="s">
        <v>9</v>
      </c>
      <c r="C46" t="s">
        <v>10</v>
      </c>
    </row>
    <row r="47" spans="1:3" x14ac:dyDescent="0.25">
      <c r="A47" t="s">
        <v>14</v>
      </c>
      <c r="B47" t="s">
        <v>14</v>
      </c>
      <c r="C47" t="s">
        <v>14</v>
      </c>
    </row>
    <row r="48" spans="1:3" x14ac:dyDescent="0.25">
      <c r="A48" t="s">
        <v>15</v>
      </c>
      <c r="B48" t="s">
        <v>15</v>
      </c>
      <c r="C48" t="s">
        <v>15</v>
      </c>
    </row>
    <row r="49" spans="1:3" x14ac:dyDescent="0.25">
      <c r="A49" t="s">
        <v>16</v>
      </c>
      <c r="B49" t="s">
        <v>17</v>
      </c>
      <c r="C49" t="s">
        <v>18</v>
      </c>
    </row>
    <row r="50" spans="1:3" x14ac:dyDescent="0.25">
      <c r="A50" t="s">
        <v>19</v>
      </c>
      <c r="B50" t="s">
        <v>19</v>
      </c>
      <c r="C50" t="s">
        <v>19</v>
      </c>
    </row>
    <row r="51" spans="1:3" x14ac:dyDescent="0.25">
      <c r="A51" t="s">
        <v>20</v>
      </c>
      <c r="B51" t="s">
        <v>21</v>
      </c>
      <c r="C51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topLeftCell="B1" workbookViewId="0">
      <pane ySplit="1" topLeftCell="A11" activePane="bottomLeft" state="frozen"/>
      <selection pane="bottomLeft" activeCell="H80" sqref="H11:H80"/>
    </sheetView>
  </sheetViews>
  <sheetFormatPr defaultRowHeight="15" x14ac:dyDescent="0.25"/>
  <cols>
    <col min="1" max="1" width="19.85546875" bestFit="1" customWidth="1"/>
    <col min="2" max="2" width="23.5703125" customWidth="1"/>
    <col min="3" max="3" width="20.42578125" bestFit="1" customWidth="1"/>
    <col min="4" max="4" width="24.42578125" bestFit="1" customWidth="1"/>
    <col min="5" max="5" width="13.140625" bestFit="1" customWidth="1"/>
    <col min="6" max="6" width="26.140625" customWidth="1"/>
    <col min="7" max="7" width="29.42578125" customWidth="1"/>
    <col min="8" max="8" width="24.5703125" bestFit="1" customWidth="1"/>
    <col min="9" max="9" width="28.140625" customWidth="1"/>
    <col min="10" max="10" width="18.85546875" customWidth="1"/>
    <col min="11" max="11" width="23.140625" bestFit="1" customWidth="1"/>
    <col min="12" max="12" width="26.5703125" customWidth="1"/>
    <col min="13" max="13" width="20.5703125" customWidth="1"/>
    <col min="14" max="14" width="26.5703125" bestFit="1" customWidth="1"/>
    <col min="15" max="15" width="19.140625" bestFit="1" customWidth="1"/>
    <col min="16" max="16" width="7.28515625" bestFit="1" customWidth="1"/>
  </cols>
  <sheetData>
    <row r="1" spans="1:16" s="11" customFormat="1" ht="30" x14ac:dyDescent="0.25">
      <c r="A1" s="80" t="s">
        <v>5</v>
      </c>
      <c r="B1" s="80" t="s">
        <v>26</v>
      </c>
      <c r="C1" s="10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80" t="s">
        <v>8</v>
      </c>
      <c r="I1" s="80" t="s">
        <v>11</v>
      </c>
      <c r="J1" s="80" t="s">
        <v>14</v>
      </c>
      <c r="K1" s="80" t="s">
        <v>15</v>
      </c>
      <c r="L1" s="80" t="s">
        <v>16</v>
      </c>
      <c r="M1" s="80" t="s">
        <v>19</v>
      </c>
      <c r="N1" s="80" t="s">
        <v>20</v>
      </c>
      <c r="O1" s="9" t="s">
        <v>34</v>
      </c>
      <c r="P1" s="10" t="s">
        <v>35</v>
      </c>
    </row>
    <row r="2" spans="1:16" hidden="1" x14ac:dyDescent="0.25">
      <c r="A2" s="1">
        <v>45841</v>
      </c>
      <c r="B2" s="1">
        <v>45041</v>
      </c>
      <c r="C2" s="4">
        <f>(_xlfn.DAYS(Table1[[#This Row],[Data awarii D(a)]],Table1[[#This Row],[Data sprzedaży D(s)]]))/30.44</f>
        <v>26.281208935611037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3">
        <v>-88.849000000000004</v>
      </c>
      <c r="P2">
        <v>-5</v>
      </c>
    </row>
    <row r="3" spans="1:16" hidden="1" x14ac:dyDescent="0.25">
      <c r="A3" s="1">
        <v>45287</v>
      </c>
      <c r="B3" s="1">
        <v>45056</v>
      </c>
      <c r="C3" s="4">
        <f>(_xlfn.DAYS(Table1[[#This Row],[Data awarii D(a)]],Table1[[#This Row],[Data sprzedaży D(s)]]))/30.44</f>
        <v>7.5886990801576868</v>
      </c>
      <c r="D3" s="2" t="s">
        <v>47</v>
      </c>
      <c r="E3" t="s">
        <v>48</v>
      </c>
      <c r="F3" t="s">
        <v>49</v>
      </c>
      <c r="G3" t="s">
        <v>50</v>
      </c>
      <c r="H3" s="22" t="s">
        <v>40</v>
      </c>
      <c r="I3" s="2" t="s">
        <v>51</v>
      </c>
      <c r="J3" s="2" t="s">
        <v>42</v>
      </c>
      <c r="K3" s="2" t="s">
        <v>43</v>
      </c>
      <c r="L3" s="12" t="s">
        <v>52</v>
      </c>
      <c r="M3" s="2" t="s">
        <v>53</v>
      </c>
      <c r="N3" s="2" t="s">
        <v>54</v>
      </c>
      <c r="O3" s="13">
        <v>-22.403690000000001</v>
      </c>
      <c r="P3" s="14">
        <v>-1</v>
      </c>
    </row>
    <row r="4" spans="1:16" hidden="1" x14ac:dyDescent="0.25">
      <c r="A4" s="1">
        <v>45289</v>
      </c>
      <c r="B4" s="1">
        <v>45076</v>
      </c>
      <c r="C4" s="4">
        <f>(_xlfn.DAYS(Table1[[#This Row],[Data awarii D(a)]],Table1[[#This Row],[Data sprzedaży D(s)]]))/30.44</f>
        <v>6.9973718791064385</v>
      </c>
      <c r="D4" s="2" t="s">
        <v>55</v>
      </c>
      <c r="E4" t="s">
        <v>56</v>
      </c>
      <c r="F4" t="s">
        <v>57</v>
      </c>
      <c r="G4" t="s">
        <v>58</v>
      </c>
      <c r="H4" s="22" t="s">
        <v>40</v>
      </c>
      <c r="I4" s="2" t="s">
        <v>59</v>
      </c>
      <c r="J4" s="2" t="s">
        <v>42</v>
      </c>
      <c r="K4" s="2" t="s">
        <v>43</v>
      </c>
      <c r="L4" s="12" t="s">
        <v>52</v>
      </c>
      <c r="M4" s="2" t="s">
        <v>53</v>
      </c>
      <c r="N4" s="2" t="s">
        <v>54</v>
      </c>
      <c r="O4" s="13">
        <v>-22.314579999999999</v>
      </c>
      <c r="P4" s="14">
        <v>-1</v>
      </c>
    </row>
    <row r="5" spans="1:16" hidden="1" x14ac:dyDescent="0.25">
      <c r="A5" s="1">
        <v>45429</v>
      </c>
      <c r="B5" s="1">
        <v>45099</v>
      </c>
      <c r="C5" s="4">
        <f>(_xlfn.DAYS(Table1[[#This Row],[Data awarii D(a)]],Table1[[#This Row],[Data sprzedaży D(s)]]))/30.44</f>
        <v>10.840998685939553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42</v>
      </c>
      <c r="K5" s="2" t="s">
        <v>43</v>
      </c>
      <c r="L5" s="2" t="s">
        <v>52</v>
      </c>
      <c r="M5" s="2" t="s">
        <v>53</v>
      </c>
      <c r="N5" s="2" t="s">
        <v>54</v>
      </c>
      <c r="O5" s="3">
        <v>-24.61345</v>
      </c>
      <c r="P5">
        <v>-1</v>
      </c>
    </row>
    <row r="6" spans="1:16" hidden="1" x14ac:dyDescent="0.25">
      <c r="A6" s="1">
        <v>45476</v>
      </c>
      <c r="B6" s="1">
        <v>45105</v>
      </c>
      <c r="C6" s="4">
        <f>(_xlfn.DAYS(Table1[[#This Row],[Data awarii D(a)]],Table1[[#This Row],[Data sprzedaży D(s)]]))/30.44</f>
        <v>12.187910643889618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42</v>
      </c>
      <c r="K6" s="2" t="s">
        <v>43</v>
      </c>
      <c r="L6" s="2" t="s">
        <v>72</v>
      </c>
      <c r="M6" s="2" t="s">
        <v>53</v>
      </c>
      <c r="N6" s="2" t="s">
        <v>73</v>
      </c>
      <c r="O6" s="3">
        <v>-42.965600000000002</v>
      </c>
      <c r="P6">
        <v>-3</v>
      </c>
    </row>
    <row r="7" spans="1:16" hidden="1" x14ac:dyDescent="0.25">
      <c r="A7" s="1">
        <v>45046</v>
      </c>
      <c r="B7" s="1">
        <v>45012</v>
      </c>
      <c r="C7" s="4">
        <f>(_xlfn.DAYS(Table1[[#This Row],[Data awarii D(a)]],Table1[[#This Row],[Data sprzedaży D(s)]]))/30.44</f>
        <v>1.1169513797634691</v>
      </c>
      <c r="D7" s="2" t="s">
        <v>74</v>
      </c>
      <c r="E7" t="s">
        <v>75</v>
      </c>
      <c r="F7" t="s">
        <v>76</v>
      </c>
      <c r="G7" t="s">
        <v>77</v>
      </c>
      <c r="H7" s="22" t="s">
        <v>40</v>
      </c>
      <c r="I7" s="2" t="s">
        <v>78</v>
      </c>
      <c r="J7" s="2" t="s">
        <v>42</v>
      </c>
      <c r="K7" s="2" t="s">
        <v>43</v>
      </c>
      <c r="L7" s="12" t="s">
        <v>79</v>
      </c>
      <c r="M7" s="2" t="s">
        <v>45</v>
      </c>
      <c r="N7" s="2" t="s">
        <v>80</v>
      </c>
      <c r="O7" s="13">
        <v>-5</v>
      </c>
      <c r="P7" s="14">
        <v>-1</v>
      </c>
    </row>
    <row r="8" spans="1:16" hidden="1" x14ac:dyDescent="0.25">
      <c r="A8" s="1">
        <v>45616</v>
      </c>
      <c r="B8" s="1">
        <v>45016</v>
      </c>
      <c r="C8" s="4">
        <f>(_xlfn.DAYS(Table1[[#This Row],[Data awarii D(a)]],Table1[[#This Row],[Data sprzedaży D(s)]]))/30.44</f>
        <v>19.710906701708279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85</v>
      </c>
      <c r="I8" s="2" t="s">
        <v>86</v>
      </c>
      <c r="J8" s="2" t="s">
        <v>42</v>
      </c>
      <c r="K8" s="2" t="s">
        <v>43</v>
      </c>
      <c r="L8" s="2" t="s">
        <v>87</v>
      </c>
      <c r="M8" s="2" t="s">
        <v>45</v>
      </c>
      <c r="N8" s="2" t="s">
        <v>80</v>
      </c>
      <c r="O8" s="3">
        <v>-24.6</v>
      </c>
      <c r="P8">
        <v>-1</v>
      </c>
    </row>
    <row r="9" spans="1:16" hidden="1" x14ac:dyDescent="0.25">
      <c r="A9" s="1">
        <v>45616</v>
      </c>
      <c r="B9" s="1">
        <v>45043</v>
      </c>
      <c r="C9" s="4">
        <f>(_xlfn.DAYS(Table1[[#This Row],[Data awarii D(a)]],Table1[[#This Row],[Data sprzedaży D(s)]]))/30.44</f>
        <v>18.823915900131404</v>
      </c>
      <c r="D9" s="2" t="s">
        <v>81</v>
      </c>
      <c r="E9" s="2" t="s">
        <v>82</v>
      </c>
      <c r="F9" s="2" t="s">
        <v>83</v>
      </c>
      <c r="G9" s="2" t="s">
        <v>88</v>
      </c>
      <c r="H9" s="2" t="s">
        <v>85</v>
      </c>
      <c r="I9" s="2" t="s">
        <v>89</v>
      </c>
      <c r="J9" s="2" t="s">
        <v>42</v>
      </c>
      <c r="K9" s="2" t="s">
        <v>43</v>
      </c>
      <c r="L9" s="2" t="s">
        <v>87</v>
      </c>
      <c r="M9" s="2" t="s">
        <v>45</v>
      </c>
      <c r="N9" s="2" t="s">
        <v>80</v>
      </c>
      <c r="O9" s="3">
        <v>-24.6</v>
      </c>
      <c r="P9">
        <v>-1</v>
      </c>
    </row>
    <row r="10" spans="1:16" hidden="1" x14ac:dyDescent="0.25">
      <c r="A10" s="1">
        <v>45476</v>
      </c>
      <c r="B10" s="1">
        <v>45076</v>
      </c>
      <c r="C10" s="4">
        <f>(_xlfn.DAYS(Table1[[#This Row],[Data awarii D(a)]],Table1[[#This Row],[Data sprzedaży D(s)]]))/30.44</f>
        <v>13.140604467805518</v>
      </c>
      <c r="D10" s="2" t="s">
        <v>90</v>
      </c>
      <c r="E10" s="2" t="s">
        <v>91</v>
      </c>
      <c r="F10" s="2" t="s">
        <v>92</v>
      </c>
      <c r="G10" s="2" t="s">
        <v>93</v>
      </c>
      <c r="H10" s="2" t="s">
        <v>94</v>
      </c>
      <c r="I10" s="2" t="s">
        <v>95</v>
      </c>
      <c r="J10" s="2" t="s">
        <v>42</v>
      </c>
      <c r="K10" s="2" t="s">
        <v>43</v>
      </c>
      <c r="L10" s="2" t="s">
        <v>87</v>
      </c>
      <c r="M10" s="2" t="s">
        <v>45</v>
      </c>
      <c r="N10" s="2" t="s">
        <v>80</v>
      </c>
      <c r="O10" s="3">
        <v>-24.6</v>
      </c>
      <c r="P10">
        <v>-1</v>
      </c>
    </row>
    <row r="11" spans="1:16" x14ac:dyDescent="0.25">
      <c r="A11" s="1">
        <v>45832</v>
      </c>
      <c r="B11" s="1">
        <v>45107</v>
      </c>
      <c r="C11" s="4">
        <f>(_xlfn.DAYS(Table1[[#This Row],[Data awarii D(a)]],Table1[[#This Row],[Data sprzedaży D(s)]]))/30.44</f>
        <v>23.817345597897503</v>
      </c>
      <c r="D11" s="2" t="s">
        <v>238</v>
      </c>
      <c r="E11" s="2" t="s">
        <v>239</v>
      </c>
      <c r="F11" s="2" t="s">
        <v>240</v>
      </c>
      <c r="G11" s="2" t="s">
        <v>241</v>
      </c>
      <c r="H11" s="97" t="s">
        <v>100</v>
      </c>
      <c r="I11" s="97" t="s">
        <v>242</v>
      </c>
      <c r="J11" s="2" t="s">
        <v>42</v>
      </c>
      <c r="K11" s="2" t="s">
        <v>43</v>
      </c>
      <c r="L11" s="2" t="s">
        <v>147</v>
      </c>
      <c r="M11" s="2" t="s">
        <v>45</v>
      </c>
      <c r="N11" s="2" t="s">
        <v>142</v>
      </c>
      <c r="O11" s="3">
        <v>-91.82</v>
      </c>
      <c r="P11">
        <v>-1</v>
      </c>
    </row>
    <row r="12" spans="1:16" x14ac:dyDescent="0.25">
      <c r="A12" s="1">
        <v>45832</v>
      </c>
      <c r="B12" s="1">
        <v>45681</v>
      </c>
      <c r="C12" s="4">
        <f>(_xlfn.DAYS(Table1[[#This Row],[Data awarii D(a)]],Table1[[#This Row],[Data sprzedaży D(s)]]))/30.44</f>
        <v>4.9605781865965834</v>
      </c>
      <c r="D12" s="2" t="s">
        <v>238</v>
      </c>
      <c r="E12" s="2" t="s">
        <v>239</v>
      </c>
      <c r="F12" s="2" t="s">
        <v>240</v>
      </c>
      <c r="G12" s="2" t="s">
        <v>241</v>
      </c>
      <c r="H12" s="97" t="s">
        <v>100</v>
      </c>
      <c r="I12" s="97" t="s">
        <v>242</v>
      </c>
      <c r="J12" s="2" t="s">
        <v>42</v>
      </c>
      <c r="K12" s="2" t="s">
        <v>43</v>
      </c>
      <c r="L12" s="2" t="s">
        <v>386</v>
      </c>
      <c r="M12" s="2" t="s">
        <v>45</v>
      </c>
      <c r="N12" s="2" t="s">
        <v>384</v>
      </c>
      <c r="O12" s="3">
        <v>-6.8333300000000001</v>
      </c>
      <c r="P12">
        <v>-1</v>
      </c>
    </row>
    <row r="13" spans="1:16" hidden="1" x14ac:dyDescent="0.25">
      <c r="A13" s="1">
        <v>45666</v>
      </c>
      <c r="B13" s="1">
        <v>45135</v>
      </c>
      <c r="C13" s="4">
        <f>(_xlfn.DAYS(Table1[[#This Row],[Data awarii D(a)]],Table1[[#This Row],[Data sprzedaży D(s)]]))/30.44</f>
        <v>17.444152431011826</v>
      </c>
      <c r="D13" s="2" t="s">
        <v>109</v>
      </c>
      <c r="E13" s="2" t="s">
        <v>110</v>
      </c>
      <c r="F13" s="2" t="s">
        <v>111</v>
      </c>
      <c r="G13" s="2" t="s">
        <v>112</v>
      </c>
      <c r="H13" s="2" t="s">
        <v>85</v>
      </c>
      <c r="I13" s="2" t="s">
        <v>113</v>
      </c>
      <c r="J13" s="2" t="s">
        <v>42</v>
      </c>
      <c r="K13" s="2" t="s">
        <v>43</v>
      </c>
      <c r="L13" s="2" t="s">
        <v>108</v>
      </c>
      <c r="M13" s="2" t="s">
        <v>45</v>
      </c>
      <c r="N13" s="2" t="s">
        <v>80</v>
      </c>
      <c r="O13" s="3">
        <v>-8.9</v>
      </c>
      <c r="P13">
        <v>-1</v>
      </c>
    </row>
    <row r="14" spans="1:16" hidden="1" x14ac:dyDescent="0.25">
      <c r="A14" s="1">
        <v>45230</v>
      </c>
      <c r="B14" s="1">
        <v>45138</v>
      </c>
      <c r="C14" s="4">
        <f>(_xlfn.DAYS(Table1[[#This Row],[Data awarii D(a)]],Table1[[#This Row],[Data sprzedaży D(s)]]))/30.44</f>
        <v>3.0223390275952693</v>
      </c>
      <c r="D14" s="2" t="s">
        <v>114</v>
      </c>
      <c r="E14" t="s">
        <v>115</v>
      </c>
      <c r="F14" t="s">
        <v>116</v>
      </c>
      <c r="G14" t="s">
        <v>117</v>
      </c>
      <c r="H14" s="22" t="s">
        <v>64</v>
      </c>
      <c r="I14" s="2" t="s">
        <v>118</v>
      </c>
      <c r="J14" s="2" t="s">
        <v>42</v>
      </c>
      <c r="K14" s="2" t="s">
        <v>43</v>
      </c>
      <c r="L14" s="12" t="s">
        <v>79</v>
      </c>
      <c r="M14" s="2" t="s">
        <v>45</v>
      </c>
      <c r="N14" s="2" t="s">
        <v>80</v>
      </c>
      <c r="O14" s="13">
        <v>-5.09</v>
      </c>
      <c r="P14" s="14">
        <v>-1</v>
      </c>
    </row>
    <row r="15" spans="1:16" hidden="1" x14ac:dyDescent="0.25">
      <c r="A15" s="1">
        <v>45616</v>
      </c>
      <c r="B15" s="1">
        <v>45169</v>
      </c>
      <c r="C15" s="4">
        <f>(_xlfn.DAYS(Table1[[#This Row],[Data awarii D(a)]],Table1[[#This Row],[Data sprzedaży D(s)]]))/30.44</f>
        <v>14.684625492772668</v>
      </c>
      <c r="D15" s="2" t="s">
        <v>81</v>
      </c>
      <c r="E15" s="2" t="s">
        <v>82</v>
      </c>
      <c r="F15" s="2" t="s">
        <v>83</v>
      </c>
      <c r="G15" s="2" t="s">
        <v>119</v>
      </c>
      <c r="H15" s="2" t="s">
        <v>85</v>
      </c>
      <c r="I15" s="2" t="s">
        <v>120</v>
      </c>
      <c r="J15" s="2" t="s">
        <v>42</v>
      </c>
      <c r="K15" s="2" t="s">
        <v>43</v>
      </c>
      <c r="L15" s="2" t="s">
        <v>87</v>
      </c>
      <c r="M15" s="2" t="s">
        <v>45</v>
      </c>
      <c r="N15" s="2" t="s">
        <v>80</v>
      </c>
      <c r="O15" s="3">
        <v>-24.6</v>
      </c>
      <c r="P15">
        <v>-1</v>
      </c>
    </row>
    <row r="16" spans="1:16" x14ac:dyDescent="0.25">
      <c r="A16" s="1">
        <v>45727</v>
      </c>
      <c r="B16" s="1">
        <v>45205</v>
      </c>
      <c r="C16" s="4">
        <f>(_xlfn.DAYS(Table1[[#This Row],[Data awarii D(a)]],Table1[[#This Row],[Data sprzedaży D(s)]]))/30.44</f>
        <v>17.148488830486201</v>
      </c>
      <c r="D16" s="2" t="s">
        <v>278</v>
      </c>
      <c r="E16" s="2" t="s">
        <v>279</v>
      </c>
      <c r="F16" s="2" t="s">
        <v>280</v>
      </c>
      <c r="G16" s="2" t="s">
        <v>281</v>
      </c>
      <c r="H16" s="2" t="s">
        <v>100</v>
      </c>
      <c r="I16" s="2" t="s">
        <v>282</v>
      </c>
      <c r="J16" s="2" t="s">
        <v>42</v>
      </c>
      <c r="K16" s="2" t="s">
        <v>43</v>
      </c>
      <c r="L16" s="2" t="s">
        <v>147</v>
      </c>
      <c r="M16" s="2" t="s">
        <v>45</v>
      </c>
      <c r="N16" s="2" t="s">
        <v>142</v>
      </c>
      <c r="O16" s="3">
        <v>-61.79</v>
      </c>
      <c r="P16">
        <v>-1</v>
      </c>
    </row>
    <row r="17" spans="1:16" hidden="1" x14ac:dyDescent="0.25">
      <c r="A17" s="1">
        <v>45576</v>
      </c>
      <c r="B17" s="1">
        <v>45331</v>
      </c>
      <c r="C17" s="4">
        <f>(_xlfn.DAYS(Table1[[#This Row],[Data awarii D(a)]],Table1[[#This Row],[Data sprzedaży D(s)]]))/30.44</f>
        <v>8.0486202365308799</v>
      </c>
      <c r="D17" s="2" t="s">
        <v>126</v>
      </c>
      <c r="E17" s="2" t="s">
        <v>127</v>
      </c>
      <c r="F17" s="2" t="s">
        <v>128</v>
      </c>
      <c r="G17" s="2" t="s">
        <v>129</v>
      </c>
      <c r="H17" s="2" t="s">
        <v>85</v>
      </c>
      <c r="I17" s="2" t="s">
        <v>130</v>
      </c>
      <c r="J17" s="2" t="s">
        <v>42</v>
      </c>
      <c r="K17" s="2" t="s">
        <v>43</v>
      </c>
      <c r="L17" s="2" t="s">
        <v>108</v>
      </c>
      <c r="M17" s="2" t="s">
        <v>45</v>
      </c>
      <c r="N17" s="2" t="s">
        <v>80</v>
      </c>
      <c r="O17" s="3">
        <v>-8.9</v>
      </c>
      <c r="P17">
        <v>-1</v>
      </c>
    </row>
    <row r="18" spans="1:16" hidden="1" x14ac:dyDescent="0.25">
      <c r="A18" s="1">
        <v>45805</v>
      </c>
      <c r="B18" s="1">
        <v>45420</v>
      </c>
      <c r="C18" s="4">
        <f>(_xlfn.DAYS(Table1[[#This Row],[Data awarii D(a)]],Table1[[#This Row],[Data sprzedaży D(s)]]))/30.44</f>
        <v>12.647831800262811</v>
      </c>
      <c r="D18" s="2" t="s">
        <v>131</v>
      </c>
      <c r="E18" s="2" t="s">
        <v>132</v>
      </c>
      <c r="F18" s="2" t="s">
        <v>133</v>
      </c>
      <c r="G18" s="2" t="s">
        <v>134</v>
      </c>
      <c r="H18" s="2" t="s">
        <v>85</v>
      </c>
      <c r="I18" s="2" t="s">
        <v>135</v>
      </c>
      <c r="J18" s="2" t="s">
        <v>42</v>
      </c>
      <c r="K18" s="2" t="s">
        <v>43</v>
      </c>
      <c r="L18" s="2" t="s">
        <v>87</v>
      </c>
      <c r="M18" s="2" t="s">
        <v>45</v>
      </c>
      <c r="N18" s="2" t="s">
        <v>80</v>
      </c>
      <c r="O18" s="3">
        <v>-36.72</v>
      </c>
      <c r="P18">
        <v>-1</v>
      </c>
    </row>
    <row r="19" spans="1:16" hidden="1" x14ac:dyDescent="0.25">
      <c r="A19" s="1">
        <v>45089</v>
      </c>
      <c r="B19" s="1">
        <v>44691</v>
      </c>
      <c r="C19" s="4">
        <f>(_xlfn.DAYS(Table1[[#This Row],[Data awarii D(a)]],Table1[[#This Row],[Data sprzedaży D(s)]]))/30.44</f>
        <v>13.074901445466491</v>
      </c>
      <c r="D19" s="2" t="s">
        <v>136</v>
      </c>
      <c r="E19" t="s">
        <v>137</v>
      </c>
      <c r="F19" t="s">
        <v>138</v>
      </c>
      <c r="G19" t="s">
        <v>139</v>
      </c>
      <c r="H19" s="2" t="s">
        <v>40</v>
      </c>
      <c r="I19" s="2" t="s">
        <v>140</v>
      </c>
      <c r="J19" s="2" t="s">
        <v>42</v>
      </c>
      <c r="K19" s="2" t="s">
        <v>43</v>
      </c>
      <c r="L19" s="12" t="s">
        <v>141</v>
      </c>
      <c r="M19" s="2" t="s">
        <v>45</v>
      </c>
      <c r="N19" s="2" t="s">
        <v>142</v>
      </c>
      <c r="O19" s="13">
        <v>-150</v>
      </c>
      <c r="P19" s="14">
        <v>-1</v>
      </c>
    </row>
    <row r="20" spans="1:16" hidden="1" x14ac:dyDescent="0.25">
      <c r="A20" s="1">
        <v>45498</v>
      </c>
      <c r="B20" s="1">
        <v>44711</v>
      </c>
      <c r="C20" s="4">
        <f>(_xlfn.DAYS(Table1[[#This Row],[Data awarii D(a)]],Table1[[#This Row],[Data sprzedaży D(s)]]))/30.44</f>
        <v>25.854139290407357</v>
      </c>
      <c r="D20" s="2" t="s">
        <v>143</v>
      </c>
      <c r="E20" s="2" t="s">
        <v>127</v>
      </c>
      <c r="F20" s="2" t="s">
        <v>144</v>
      </c>
      <c r="G20" s="2" t="s">
        <v>145</v>
      </c>
      <c r="H20" s="2" t="s">
        <v>85</v>
      </c>
      <c r="I20" s="2" t="s">
        <v>146</v>
      </c>
      <c r="J20" s="2" t="s">
        <v>42</v>
      </c>
      <c r="K20" s="2" t="s">
        <v>43</v>
      </c>
      <c r="L20" s="2" t="s">
        <v>147</v>
      </c>
      <c r="M20" s="2" t="s">
        <v>45</v>
      </c>
      <c r="N20" s="2" t="s">
        <v>142</v>
      </c>
      <c r="O20" s="3">
        <v>-56.936669999999999</v>
      </c>
      <c r="P20">
        <v>-1</v>
      </c>
    </row>
    <row r="21" spans="1:16" hidden="1" x14ac:dyDescent="0.25">
      <c r="A21" s="1">
        <v>45478</v>
      </c>
      <c r="B21" s="1">
        <v>44732</v>
      </c>
      <c r="C21" s="4">
        <f>(_xlfn.DAYS(Table1[[#This Row],[Data awarii D(a)]],Table1[[#This Row],[Data sprzedaży D(s)]]))/30.44</f>
        <v>24.50722733245729</v>
      </c>
      <c r="D21" s="2" t="s">
        <v>148</v>
      </c>
      <c r="E21" s="2" t="s">
        <v>149</v>
      </c>
      <c r="F21" s="2" t="s">
        <v>150</v>
      </c>
      <c r="G21" s="2" t="s">
        <v>151</v>
      </c>
      <c r="H21" s="2" t="s">
        <v>85</v>
      </c>
      <c r="I21" s="2" t="s">
        <v>152</v>
      </c>
      <c r="J21" s="2" t="s">
        <v>42</v>
      </c>
      <c r="K21" s="2" t="s">
        <v>43</v>
      </c>
      <c r="L21" s="2" t="s">
        <v>153</v>
      </c>
      <c r="M21" s="2" t="s">
        <v>45</v>
      </c>
      <c r="N21" s="2" t="s">
        <v>142</v>
      </c>
      <c r="O21" s="3">
        <v>-43.56</v>
      </c>
      <c r="P21">
        <v>-1</v>
      </c>
    </row>
    <row r="22" spans="1:16" hidden="1" x14ac:dyDescent="0.25">
      <c r="A22" s="1">
        <v>45107</v>
      </c>
      <c r="B22" s="1">
        <v>44742</v>
      </c>
      <c r="C22" s="4">
        <f>(_xlfn.DAYS(Table1[[#This Row],[Data awarii D(a)]],Table1[[#This Row],[Data sprzedaży D(s)]]))/30.44</f>
        <v>11.990801576872535</v>
      </c>
      <c r="D22" s="2" t="s">
        <v>154</v>
      </c>
      <c r="E22" t="s">
        <v>155</v>
      </c>
      <c r="F22" t="s">
        <v>156</v>
      </c>
      <c r="G22" t="s">
        <v>157</v>
      </c>
      <c r="H22" s="2" t="s">
        <v>70</v>
      </c>
      <c r="I22" s="2" t="s">
        <v>158</v>
      </c>
      <c r="J22" s="2" t="s">
        <v>42</v>
      </c>
      <c r="K22" s="2" t="s">
        <v>43</v>
      </c>
      <c r="L22" s="12" t="s">
        <v>159</v>
      </c>
      <c r="M22" s="2" t="s">
        <v>45</v>
      </c>
      <c r="N22" s="2" t="s">
        <v>142</v>
      </c>
      <c r="O22" s="13">
        <v>-57.73</v>
      </c>
      <c r="P22" s="14">
        <v>-1</v>
      </c>
    </row>
    <row r="23" spans="1:16" hidden="1" x14ac:dyDescent="0.25">
      <c r="A23" s="1">
        <v>45138</v>
      </c>
      <c r="B23" s="1">
        <v>44742</v>
      </c>
      <c r="C23" s="4">
        <f>(_xlfn.DAYS(Table1[[#This Row],[Data awarii D(a)]],Table1[[#This Row],[Data sprzedaży D(s)]]))/30.44</f>
        <v>13.009198423127463</v>
      </c>
      <c r="D23" s="2" t="s">
        <v>160</v>
      </c>
      <c r="E23" t="s">
        <v>161</v>
      </c>
      <c r="F23" t="s">
        <v>162</v>
      </c>
      <c r="G23" t="s">
        <v>163</v>
      </c>
      <c r="H23" s="2" t="s">
        <v>40</v>
      </c>
      <c r="I23" s="2" t="s">
        <v>164</v>
      </c>
      <c r="J23" s="2" t="s">
        <v>42</v>
      </c>
      <c r="K23" s="2" t="s">
        <v>43</v>
      </c>
      <c r="L23" s="12" t="s">
        <v>165</v>
      </c>
      <c r="M23" s="2" t="s">
        <v>45</v>
      </c>
      <c r="N23" s="2" t="s">
        <v>142</v>
      </c>
      <c r="O23" s="13">
        <v>-49.1</v>
      </c>
      <c r="P23" s="14">
        <v>-1</v>
      </c>
    </row>
    <row r="24" spans="1:16" x14ac:dyDescent="0.25">
      <c r="A24" s="1">
        <v>45635</v>
      </c>
      <c r="B24" s="1">
        <v>45504</v>
      </c>
      <c r="C24" s="4">
        <f>(_xlfn.DAYS(Table1[[#This Row],[Data awarii D(a)]],Table1[[#This Row],[Data sprzedaży D(s)]]))/30.44</f>
        <v>4.3035479632063076</v>
      </c>
      <c r="D24" s="2" t="s">
        <v>379</v>
      </c>
      <c r="E24" s="2" t="s">
        <v>380</v>
      </c>
      <c r="F24" s="2" t="s">
        <v>385</v>
      </c>
      <c r="G24" s="2" t="s">
        <v>382</v>
      </c>
      <c r="H24" s="2" t="s">
        <v>100</v>
      </c>
      <c r="I24" s="2" t="s">
        <v>383</v>
      </c>
      <c r="J24" s="2" t="s">
        <v>42</v>
      </c>
      <c r="K24" s="2" t="s">
        <v>43</v>
      </c>
      <c r="L24" s="2" t="s">
        <v>386</v>
      </c>
      <c r="M24" s="2" t="s">
        <v>45</v>
      </c>
      <c r="N24" s="2" t="s">
        <v>384</v>
      </c>
      <c r="O24" s="3">
        <v>-4.72818</v>
      </c>
      <c r="P24">
        <v>-1</v>
      </c>
    </row>
    <row r="25" spans="1:16" hidden="1" x14ac:dyDescent="0.25">
      <c r="A25" s="1">
        <v>45477</v>
      </c>
      <c r="B25" s="1">
        <v>44826</v>
      </c>
      <c r="C25" s="4">
        <f>(_xlfn.DAYS(Table1[[#This Row],[Data awarii D(a)]],Table1[[#This Row],[Data sprzedaży D(s)]]))/30.44</f>
        <v>21.386333771353481</v>
      </c>
      <c r="D25" s="2" t="s">
        <v>170</v>
      </c>
      <c r="E25" s="2" t="s">
        <v>171</v>
      </c>
      <c r="F25" s="2" t="s">
        <v>172</v>
      </c>
      <c r="G25" s="2" t="s">
        <v>173</v>
      </c>
      <c r="H25" s="2" t="s">
        <v>70</v>
      </c>
      <c r="I25" s="2" t="s">
        <v>174</v>
      </c>
      <c r="J25" s="2" t="s">
        <v>42</v>
      </c>
      <c r="K25" s="2" t="s">
        <v>43</v>
      </c>
      <c r="L25" s="2" t="s">
        <v>175</v>
      </c>
      <c r="M25" s="2" t="s">
        <v>45</v>
      </c>
      <c r="N25" s="2" t="s">
        <v>142</v>
      </c>
      <c r="O25" s="3">
        <v>-358.92286000000001</v>
      </c>
      <c r="P25">
        <v>-1</v>
      </c>
    </row>
    <row r="26" spans="1:16" hidden="1" x14ac:dyDescent="0.25">
      <c r="A26" s="1">
        <v>45107</v>
      </c>
      <c r="B26" s="1">
        <v>44890</v>
      </c>
      <c r="C26" s="4">
        <f>(_xlfn.DAYS(Table1[[#This Row],[Data awarii D(a)]],Table1[[#This Row],[Data sprzedaży D(s)]]))/30.44</f>
        <v>7.1287779237844937</v>
      </c>
      <c r="D26" s="2" t="s">
        <v>154</v>
      </c>
      <c r="E26" t="s">
        <v>155</v>
      </c>
      <c r="F26" t="s">
        <v>156</v>
      </c>
      <c r="G26" t="s">
        <v>157</v>
      </c>
      <c r="H26" s="2" t="s">
        <v>70</v>
      </c>
      <c r="I26" s="2" t="s">
        <v>158</v>
      </c>
      <c r="J26" s="2" t="s">
        <v>42</v>
      </c>
      <c r="K26" s="2" t="s">
        <v>43</v>
      </c>
      <c r="L26" s="12" t="s">
        <v>153</v>
      </c>
      <c r="M26" s="2" t="s">
        <v>45</v>
      </c>
      <c r="N26" s="2" t="s">
        <v>142</v>
      </c>
      <c r="O26" s="13">
        <v>-35.388179999999998</v>
      </c>
      <c r="P26" s="14">
        <v>-1</v>
      </c>
    </row>
    <row r="27" spans="1:16" x14ac:dyDescent="0.25">
      <c r="A27" s="1">
        <v>45625</v>
      </c>
      <c r="B27" s="1">
        <v>45309</v>
      </c>
      <c r="C27" s="4">
        <f>(_xlfn.DAYS(Table1[[#This Row],[Data awarii D(a)]],Table1[[#This Row],[Data sprzedaży D(s)]]))/30.44</f>
        <v>10.38107752956636</v>
      </c>
      <c r="D27" s="2" t="s">
        <v>379</v>
      </c>
      <c r="E27" s="2" t="s">
        <v>380</v>
      </c>
      <c r="F27" s="2" t="s">
        <v>381</v>
      </c>
      <c r="G27" s="2" t="s">
        <v>382</v>
      </c>
      <c r="H27" s="2" t="s">
        <v>100</v>
      </c>
      <c r="I27" s="2" t="s">
        <v>383</v>
      </c>
      <c r="J27" s="2" t="s">
        <v>42</v>
      </c>
      <c r="K27" s="2" t="s">
        <v>43</v>
      </c>
      <c r="L27" s="2" t="s">
        <v>365</v>
      </c>
      <c r="M27" s="2" t="s">
        <v>45</v>
      </c>
      <c r="N27" s="2" t="s">
        <v>384</v>
      </c>
      <c r="O27" s="3">
        <v>-66.98</v>
      </c>
      <c r="P27">
        <v>-1</v>
      </c>
    </row>
    <row r="28" spans="1:16" hidden="1" x14ac:dyDescent="0.25">
      <c r="A28" s="1">
        <v>45219</v>
      </c>
      <c r="B28" s="1">
        <v>45015</v>
      </c>
      <c r="C28" s="4">
        <f>(_xlfn.DAYS(Table1[[#This Row],[Data awarii D(a)]],Table1[[#This Row],[Data sprzedaży D(s)]]))/30.44</f>
        <v>6.7017082785808144</v>
      </c>
      <c r="D28" s="2" t="s">
        <v>182</v>
      </c>
      <c r="E28" t="s">
        <v>183</v>
      </c>
      <c r="F28" t="s">
        <v>184</v>
      </c>
      <c r="G28" t="s">
        <v>185</v>
      </c>
      <c r="H28" s="2" t="s">
        <v>40</v>
      </c>
      <c r="I28" s="2" t="s">
        <v>186</v>
      </c>
      <c r="J28" s="2" t="s">
        <v>42</v>
      </c>
      <c r="K28" s="2" t="s">
        <v>43</v>
      </c>
      <c r="L28" s="12" t="s">
        <v>165</v>
      </c>
      <c r="M28" s="2" t="s">
        <v>45</v>
      </c>
      <c r="N28" s="2" t="s">
        <v>142</v>
      </c>
      <c r="O28" s="13">
        <v>-82.27</v>
      </c>
      <c r="P28" s="14">
        <v>-1</v>
      </c>
    </row>
    <row r="29" spans="1:16" hidden="1" x14ac:dyDescent="0.25">
      <c r="A29" s="1">
        <v>45846</v>
      </c>
      <c r="B29" s="1">
        <v>45015</v>
      </c>
      <c r="C29" s="4">
        <f>(_xlfn.DAYS(Table1[[#This Row],[Data awarii D(a)]],Table1[[#This Row],[Data sprzedaży D(s)]]))/30.44</f>
        <v>27.299605781865964</v>
      </c>
      <c r="D29" s="2" t="s">
        <v>187</v>
      </c>
      <c r="E29" s="2" t="s">
        <v>188</v>
      </c>
      <c r="F29" s="2" t="s">
        <v>189</v>
      </c>
      <c r="G29" s="2" t="s">
        <v>190</v>
      </c>
      <c r="H29" s="2" t="s">
        <v>70</v>
      </c>
      <c r="I29" s="2" t="s">
        <v>191</v>
      </c>
      <c r="J29" s="2" t="s">
        <v>42</v>
      </c>
      <c r="K29" s="2" t="s">
        <v>43</v>
      </c>
      <c r="L29" s="2" t="s">
        <v>153</v>
      </c>
      <c r="M29" s="2" t="s">
        <v>45</v>
      </c>
      <c r="N29" s="2" t="s">
        <v>142</v>
      </c>
      <c r="O29" s="3">
        <v>-52.385829999999999</v>
      </c>
      <c r="P29">
        <v>-1</v>
      </c>
    </row>
    <row r="30" spans="1:16" hidden="1" x14ac:dyDescent="0.25">
      <c r="A30" s="1">
        <v>45509</v>
      </c>
      <c r="B30" s="1">
        <v>45016</v>
      </c>
      <c r="C30" s="4">
        <f>(_xlfn.DAYS(Table1[[#This Row],[Data awarii D(a)]],Table1[[#This Row],[Data sprzedaży D(s)]]))/30.44</f>
        <v>16.1957950065703</v>
      </c>
      <c r="D30" s="2" t="s">
        <v>192</v>
      </c>
      <c r="E30" s="2" t="s">
        <v>193</v>
      </c>
      <c r="F30" s="2" t="s">
        <v>194</v>
      </c>
      <c r="G30" s="2" t="s">
        <v>195</v>
      </c>
      <c r="H30" s="2" t="s">
        <v>85</v>
      </c>
      <c r="I30" s="2" t="s">
        <v>196</v>
      </c>
      <c r="J30" s="2" t="s">
        <v>42</v>
      </c>
      <c r="K30" s="2" t="s">
        <v>43</v>
      </c>
      <c r="L30" s="2" t="s">
        <v>147</v>
      </c>
      <c r="M30" s="2" t="s">
        <v>45</v>
      </c>
      <c r="N30" s="2" t="s">
        <v>142</v>
      </c>
      <c r="O30" s="3">
        <v>-56.253999999999998</v>
      </c>
      <c r="P30">
        <v>-1</v>
      </c>
    </row>
    <row r="31" spans="1:16" x14ac:dyDescent="0.25">
      <c r="A31" s="1">
        <v>45614</v>
      </c>
      <c r="B31" s="1">
        <v>44711</v>
      </c>
      <c r="C31" s="4">
        <f>(_xlfn.DAYS(Table1[[#This Row],[Data awarii D(a)]],Table1[[#This Row],[Data sprzedaży D(s)]]))/30.44</f>
        <v>29.664914586070957</v>
      </c>
      <c r="D31" s="2" t="s">
        <v>394</v>
      </c>
      <c r="E31" s="2" t="s">
        <v>110</v>
      </c>
      <c r="F31" s="2" t="s">
        <v>395</v>
      </c>
      <c r="G31" s="2" t="s">
        <v>396</v>
      </c>
      <c r="H31" s="2" t="s">
        <v>100</v>
      </c>
      <c r="I31" s="2" t="s">
        <v>397</v>
      </c>
      <c r="J31" s="2" t="s">
        <v>42</v>
      </c>
      <c r="K31" s="2" t="s">
        <v>43</v>
      </c>
      <c r="L31" s="2" t="s">
        <v>343</v>
      </c>
      <c r="M31" s="2" t="s">
        <v>45</v>
      </c>
      <c r="N31" s="2" t="s">
        <v>384</v>
      </c>
      <c r="O31" s="3">
        <v>-60.49</v>
      </c>
      <c r="P31">
        <v>-1</v>
      </c>
    </row>
    <row r="32" spans="1:16" hidden="1" x14ac:dyDescent="0.25">
      <c r="A32" s="1">
        <v>45307</v>
      </c>
      <c r="B32" s="1">
        <v>45056</v>
      </c>
      <c r="C32" s="4">
        <f>(_xlfn.DAYS(Table1[[#This Row],[Data awarii D(a)]],Table1[[#This Row],[Data sprzedaży D(s)]]))/30.44</f>
        <v>8.2457293035479626</v>
      </c>
      <c r="D32" s="2" t="s">
        <v>202</v>
      </c>
      <c r="E32" t="s">
        <v>203</v>
      </c>
      <c r="F32" t="s">
        <v>204</v>
      </c>
      <c r="G32" t="s">
        <v>205</v>
      </c>
      <c r="H32" s="2" t="s">
        <v>206</v>
      </c>
      <c r="I32" s="2" t="s">
        <v>207</v>
      </c>
      <c r="J32" s="2" t="s">
        <v>42</v>
      </c>
      <c r="K32" s="2" t="s">
        <v>43</v>
      </c>
      <c r="L32" s="12" t="s">
        <v>208</v>
      </c>
      <c r="M32" s="2" t="s">
        <v>45</v>
      </c>
      <c r="N32" s="2" t="s">
        <v>142</v>
      </c>
      <c r="O32" s="13">
        <v>-62.69</v>
      </c>
      <c r="P32" s="14">
        <v>-1</v>
      </c>
    </row>
    <row r="33" spans="1:16" hidden="1" x14ac:dyDescent="0.25">
      <c r="A33" s="1">
        <v>45845</v>
      </c>
      <c r="B33" s="1">
        <v>45076</v>
      </c>
      <c r="C33" s="4">
        <f>(_xlfn.DAYS(Table1[[#This Row],[Data awarii D(a)]],Table1[[#This Row],[Data sprzedaży D(s)]]))/30.44</f>
        <v>25.26281208935611</v>
      </c>
      <c r="D33" s="2" t="s">
        <v>209</v>
      </c>
      <c r="E33" s="2" t="s">
        <v>48</v>
      </c>
      <c r="F33" s="2" t="s">
        <v>210</v>
      </c>
      <c r="G33" s="2" t="s">
        <v>211</v>
      </c>
      <c r="H33" s="2" t="s">
        <v>40</v>
      </c>
      <c r="I33" s="2" t="s">
        <v>212</v>
      </c>
      <c r="J33" s="2" t="s">
        <v>42</v>
      </c>
      <c r="K33" s="2" t="s">
        <v>43</v>
      </c>
      <c r="L33" s="2" t="s">
        <v>165</v>
      </c>
      <c r="M33" s="2" t="s">
        <v>45</v>
      </c>
      <c r="N33" s="2" t="s">
        <v>142</v>
      </c>
      <c r="O33" s="3">
        <v>-61.32667</v>
      </c>
      <c r="P33">
        <v>-1</v>
      </c>
    </row>
    <row r="34" spans="1:16" hidden="1" x14ac:dyDescent="0.25">
      <c r="A34" s="1">
        <v>45649</v>
      </c>
      <c r="B34" s="1">
        <v>45099</v>
      </c>
      <c r="C34" s="4">
        <f>(_xlfn.DAYS(Table1[[#This Row],[Data awarii D(a)]],Table1[[#This Row],[Data sprzedaży D(s)]]))/30.44</f>
        <v>18.068331143232587</v>
      </c>
      <c r="D34" s="2" t="s">
        <v>213</v>
      </c>
      <c r="E34" s="2" t="s">
        <v>214</v>
      </c>
      <c r="F34" s="2" t="s">
        <v>215</v>
      </c>
      <c r="G34" s="2" t="s">
        <v>216</v>
      </c>
      <c r="H34" s="2" t="s">
        <v>206</v>
      </c>
      <c r="I34" s="2" t="s">
        <v>217</v>
      </c>
      <c r="J34" s="2" t="s">
        <v>42</v>
      </c>
      <c r="K34" s="2" t="s">
        <v>43</v>
      </c>
      <c r="L34" s="2" t="s">
        <v>208</v>
      </c>
      <c r="M34" s="2" t="s">
        <v>45</v>
      </c>
      <c r="N34" s="2" t="s">
        <v>142</v>
      </c>
      <c r="O34" s="3">
        <v>-86.664000000000001</v>
      </c>
      <c r="P34">
        <v>-1</v>
      </c>
    </row>
    <row r="35" spans="1:16" x14ac:dyDescent="0.25">
      <c r="A35" s="1">
        <v>45601</v>
      </c>
      <c r="B35" s="1">
        <v>45117</v>
      </c>
      <c r="C35" s="4">
        <f>(_xlfn.DAYS(Table1[[#This Row],[Data awarii D(a)]],Table1[[#This Row],[Data sprzedaży D(s)]]))/30.44</f>
        <v>15.900131406044677</v>
      </c>
      <c r="D35" s="2" t="s">
        <v>254</v>
      </c>
      <c r="E35" s="2" t="s">
        <v>255</v>
      </c>
      <c r="F35" s="2" t="s">
        <v>256</v>
      </c>
      <c r="G35" s="2" t="s">
        <v>257</v>
      </c>
      <c r="H35" s="2" t="s">
        <v>100</v>
      </c>
      <c r="I35" s="2" t="s">
        <v>258</v>
      </c>
      <c r="J35" s="2" t="s">
        <v>42</v>
      </c>
      <c r="K35" s="2" t="s">
        <v>43</v>
      </c>
      <c r="L35" s="2" t="s">
        <v>147</v>
      </c>
      <c r="M35" s="2" t="s">
        <v>45</v>
      </c>
      <c r="N35" s="2" t="s">
        <v>142</v>
      </c>
      <c r="O35" s="3">
        <v>-40.932000000000002</v>
      </c>
      <c r="P35">
        <v>-1</v>
      </c>
    </row>
    <row r="36" spans="1:16" hidden="1" x14ac:dyDescent="0.25">
      <c r="A36" s="1">
        <v>45169</v>
      </c>
      <c r="B36" s="1">
        <v>45107</v>
      </c>
      <c r="C36" s="4">
        <f>(_xlfn.DAYS(Table1[[#This Row],[Data awarii D(a)]],Table1[[#This Row],[Data sprzedaży D(s)]]))/30.44</f>
        <v>2.0367936925098555</v>
      </c>
      <c r="D36" s="2" t="s">
        <v>223</v>
      </c>
      <c r="E36" t="s">
        <v>48</v>
      </c>
      <c r="F36" t="s">
        <v>224</v>
      </c>
      <c r="G36" t="s">
        <v>225</v>
      </c>
      <c r="H36" s="2" t="s">
        <v>40</v>
      </c>
      <c r="I36" s="2" t="s">
        <v>226</v>
      </c>
      <c r="J36" s="2" t="s">
        <v>42</v>
      </c>
      <c r="K36" s="2" t="s">
        <v>43</v>
      </c>
      <c r="L36" s="12" t="s">
        <v>165</v>
      </c>
      <c r="M36" s="2" t="s">
        <v>45</v>
      </c>
      <c r="N36" s="2" t="s">
        <v>142</v>
      </c>
      <c r="O36" s="13">
        <v>-82.263329999999996</v>
      </c>
      <c r="P36" s="14">
        <v>-1</v>
      </c>
    </row>
    <row r="37" spans="1:16" hidden="1" x14ac:dyDescent="0.25">
      <c r="A37" s="1">
        <v>45398</v>
      </c>
      <c r="B37" s="1">
        <v>45107</v>
      </c>
      <c r="C37" s="4">
        <f>(_xlfn.DAYS(Table1[[#This Row],[Data awarii D(a)]],Table1[[#This Row],[Data sprzedaży D(s)]]))/30.44</f>
        <v>9.5597897503285143</v>
      </c>
      <c r="D37" s="2" t="s">
        <v>227</v>
      </c>
      <c r="E37" s="2" t="s">
        <v>228</v>
      </c>
      <c r="F37" s="2" t="s">
        <v>229</v>
      </c>
      <c r="G37" s="2" t="s">
        <v>230</v>
      </c>
      <c r="H37" s="2" t="s">
        <v>85</v>
      </c>
      <c r="I37" s="2" t="s">
        <v>231</v>
      </c>
      <c r="J37" s="2" t="s">
        <v>42</v>
      </c>
      <c r="K37" s="2" t="s">
        <v>43</v>
      </c>
      <c r="L37" s="2" t="s">
        <v>232</v>
      </c>
      <c r="M37" s="2" t="s">
        <v>45</v>
      </c>
      <c r="N37" s="2" t="s">
        <v>142</v>
      </c>
      <c r="O37" s="3">
        <v>-128.83857</v>
      </c>
      <c r="P37">
        <v>-3</v>
      </c>
    </row>
    <row r="38" spans="1:16" hidden="1" x14ac:dyDescent="0.25">
      <c r="A38" s="1">
        <v>45568</v>
      </c>
      <c r="B38" s="1">
        <v>45107</v>
      </c>
      <c r="C38" s="4">
        <f>(_xlfn.DAYS(Table1[[#This Row],[Data awarii D(a)]],Table1[[#This Row],[Data sprzedaży D(s)]]))/30.44</f>
        <v>15.144546649145861</v>
      </c>
      <c r="D38" s="2" t="s">
        <v>233</v>
      </c>
      <c r="E38" s="2" t="s">
        <v>234</v>
      </c>
      <c r="F38" s="2" t="s">
        <v>235</v>
      </c>
      <c r="G38" s="2" t="s">
        <v>236</v>
      </c>
      <c r="H38" s="2" t="s">
        <v>70</v>
      </c>
      <c r="I38" s="2" t="s">
        <v>237</v>
      </c>
      <c r="J38" s="2" t="s">
        <v>42</v>
      </c>
      <c r="K38" s="2" t="s">
        <v>43</v>
      </c>
      <c r="L38" s="2" t="s">
        <v>159</v>
      </c>
      <c r="M38" s="2" t="s">
        <v>45</v>
      </c>
      <c r="N38" s="2" t="s">
        <v>142</v>
      </c>
      <c r="O38" s="3">
        <v>-114.6075</v>
      </c>
      <c r="P38">
        <v>-1</v>
      </c>
    </row>
    <row r="39" spans="1:16" x14ac:dyDescent="0.25">
      <c r="A39" s="1">
        <v>45555</v>
      </c>
      <c r="B39" s="1">
        <v>45111</v>
      </c>
      <c r="C39" s="4">
        <f>(_xlfn.DAYS(Table1[[#This Row],[Data awarii D(a)]],Table1[[#This Row],[Data sprzedaży D(s)]]))/30.44</f>
        <v>14.586070959264125</v>
      </c>
      <c r="D39" s="2" t="s">
        <v>249</v>
      </c>
      <c r="E39" s="2" t="s">
        <v>250</v>
      </c>
      <c r="F39" s="2" t="s">
        <v>251</v>
      </c>
      <c r="G39" s="2" t="s">
        <v>252</v>
      </c>
      <c r="H39" s="2" t="s">
        <v>100</v>
      </c>
      <c r="I39" s="2" t="s">
        <v>253</v>
      </c>
      <c r="J39" s="2" t="s">
        <v>42</v>
      </c>
      <c r="K39" s="2" t="s">
        <v>43</v>
      </c>
      <c r="L39" s="2" t="s">
        <v>147</v>
      </c>
      <c r="M39" s="2" t="s">
        <v>45</v>
      </c>
      <c r="N39" s="2" t="s">
        <v>142</v>
      </c>
      <c r="O39" s="3">
        <v>-53.522500000000001</v>
      </c>
      <c r="P39">
        <v>-1</v>
      </c>
    </row>
    <row r="40" spans="1:16" hidden="1" x14ac:dyDescent="0.25">
      <c r="A40" s="1">
        <v>45498</v>
      </c>
      <c r="B40" s="1">
        <v>45111</v>
      </c>
      <c r="C40" s="4">
        <f>(_xlfn.DAYS(Table1[[#This Row],[Data awarii D(a)]],Table1[[#This Row],[Data sprzedaży D(s)]]))/30.44</f>
        <v>12.713534822601838</v>
      </c>
      <c r="D40" s="2" t="s">
        <v>243</v>
      </c>
      <c r="E40" s="2" t="s">
        <v>244</v>
      </c>
      <c r="F40" s="2" t="s">
        <v>245</v>
      </c>
      <c r="G40" s="2" t="s">
        <v>246</v>
      </c>
      <c r="H40" s="2" t="s">
        <v>247</v>
      </c>
      <c r="I40" s="2" t="s">
        <v>248</v>
      </c>
      <c r="J40" s="2" t="s">
        <v>42</v>
      </c>
      <c r="K40" s="2" t="s">
        <v>43</v>
      </c>
      <c r="L40" s="2" t="s">
        <v>165</v>
      </c>
      <c r="M40" s="2" t="s">
        <v>45</v>
      </c>
      <c r="N40" s="2" t="s">
        <v>142</v>
      </c>
      <c r="O40" s="3">
        <v>-44.532859999999999</v>
      </c>
      <c r="P40">
        <v>-1</v>
      </c>
    </row>
    <row r="41" spans="1:16" x14ac:dyDescent="0.25">
      <c r="A41" s="1">
        <v>45554</v>
      </c>
      <c r="B41" s="1">
        <v>45075</v>
      </c>
      <c r="C41" s="4">
        <f>(_xlfn.DAYS(Table1[[#This Row],[Data awarii D(a)]],Table1[[#This Row],[Data sprzedaży D(s)]]))/30.44</f>
        <v>15.735873850197109</v>
      </c>
      <c r="D41" s="2" t="s">
        <v>411</v>
      </c>
      <c r="E41" s="2" t="s">
        <v>67</v>
      </c>
      <c r="F41" s="2" t="s">
        <v>412</v>
      </c>
      <c r="G41" s="2" t="s">
        <v>413</v>
      </c>
      <c r="H41" s="2" t="s">
        <v>100</v>
      </c>
      <c r="I41" s="2" t="s">
        <v>414</v>
      </c>
      <c r="J41" s="2" t="s">
        <v>42</v>
      </c>
      <c r="K41" s="2" t="s">
        <v>43</v>
      </c>
      <c r="L41" s="2" t="s">
        <v>415</v>
      </c>
      <c r="M41" s="2" t="s">
        <v>53</v>
      </c>
      <c r="N41" s="2" t="s">
        <v>404</v>
      </c>
      <c r="O41" s="3">
        <v>-4731.97</v>
      </c>
      <c r="P41">
        <v>-1</v>
      </c>
    </row>
    <row r="42" spans="1:16" x14ac:dyDescent="0.25">
      <c r="A42" s="1">
        <v>45462</v>
      </c>
      <c r="B42" s="1">
        <v>45098</v>
      </c>
      <c r="C42" s="4">
        <f>(_xlfn.DAYS(Table1[[#This Row],[Data awarii D(a)]],Table1[[#This Row],[Data sprzedaży D(s)]]))/30.44</f>
        <v>11.957950065703022</v>
      </c>
      <c r="D42" s="2" t="s">
        <v>416</v>
      </c>
      <c r="E42" s="2" t="s">
        <v>417</v>
      </c>
      <c r="F42" s="2" t="s">
        <v>418</v>
      </c>
      <c r="G42" s="2" t="s">
        <v>419</v>
      </c>
      <c r="H42" s="2" t="s">
        <v>100</v>
      </c>
      <c r="I42" s="2" t="s">
        <v>420</v>
      </c>
      <c r="J42" s="2" t="s">
        <v>42</v>
      </c>
      <c r="K42" s="2" t="s">
        <v>43</v>
      </c>
      <c r="L42" s="2" t="s">
        <v>421</v>
      </c>
      <c r="M42" s="2" t="s">
        <v>45</v>
      </c>
      <c r="N42" s="2" t="s">
        <v>422</v>
      </c>
      <c r="O42" s="3">
        <v>-44.87</v>
      </c>
      <c r="P42">
        <v>-1</v>
      </c>
    </row>
    <row r="43" spans="1:16" hidden="1" x14ac:dyDescent="0.25">
      <c r="A43" s="1">
        <v>45260</v>
      </c>
      <c r="B43" s="1">
        <v>45118</v>
      </c>
      <c r="C43" s="4">
        <f>(_xlfn.DAYS(Table1[[#This Row],[Data awarii D(a)]],Table1[[#This Row],[Data sprzedaży D(s)]]))/30.44</f>
        <v>4.6649145860709593</v>
      </c>
      <c r="D43" s="2" t="s">
        <v>259</v>
      </c>
      <c r="E43" t="s">
        <v>260</v>
      </c>
      <c r="F43" t="s">
        <v>261</v>
      </c>
      <c r="G43" t="s">
        <v>262</v>
      </c>
      <c r="H43" s="2" t="s">
        <v>40</v>
      </c>
      <c r="I43" s="2" t="s">
        <v>263</v>
      </c>
      <c r="J43" s="2" t="s">
        <v>42</v>
      </c>
      <c r="K43" s="2" t="s">
        <v>43</v>
      </c>
      <c r="L43" s="12" t="s">
        <v>141</v>
      </c>
      <c r="M43" s="2" t="s">
        <v>45</v>
      </c>
      <c r="N43" s="2" t="s">
        <v>142</v>
      </c>
      <c r="O43" s="13">
        <v>-155.52000000000001</v>
      </c>
      <c r="P43" s="14">
        <v>-1</v>
      </c>
    </row>
    <row r="44" spans="1:16" hidden="1" x14ac:dyDescent="0.25">
      <c r="A44" s="1">
        <v>45785</v>
      </c>
      <c r="B44" s="1">
        <v>45118</v>
      </c>
      <c r="C44" s="4">
        <f>(_xlfn.DAYS(Table1[[#This Row],[Data awarii D(a)]],Table1[[#This Row],[Data sprzedaży D(s)]]))/30.44</f>
        <v>21.911957950065702</v>
      </c>
      <c r="D44" s="2" t="s">
        <v>264</v>
      </c>
      <c r="E44" s="2" t="s">
        <v>265</v>
      </c>
      <c r="F44" s="2" t="s">
        <v>266</v>
      </c>
      <c r="G44" s="2" t="s">
        <v>267</v>
      </c>
      <c r="H44" s="2" t="s">
        <v>40</v>
      </c>
      <c r="I44" s="2" t="s">
        <v>268</v>
      </c>
      <c r="J44" s="2" t="s">
        <v>42</v>
      </c>
      <c r="K44" s="2" t="s">
        <v>43</v>
      </c>
      <c r="L44" s="2" t="s">
        <v>165</v>
      </c>
      <c r="M44" s="2" t="s">
        <v>45</v>
      </c>
      <c r="N44" s="2" t="s">
        <v>142</v>
      </c>
      <c r="O44" s="3">
        <v>-55.14</v>
      </c>
      <c r="P44">
        <v>-1</v>
      </c>
    </row>
    <row r="45" spans="1:16" hidden="1" x14ac:dyDescent="0.25">
      <c r="A45" s="1">
        <v>45846</v>
      </c>
      <c r="B45" s="1">
        <v>45118</v>
      </c>
      <c r="C45" s="4">
        <f>(_xlfn.DAYS(Table1[[#This Row],[Data awarii D(a)]],Table1[[#This Row],[Data sprzedaży D(s)]]))/30.44</f>
        <v>23.915900131406044</v>
      </c>
      <c r="D45" s="2" t="s">
        <v>187</v>
      </c>
      <c r="E45" s="2" t="s">
        <v>188</v>
      </c>
      <c r="F45" s="2" t="s">
        <v>189</v>
      </c>
      <c r="G45" s="2" t="s">
        <v>190</v>
      </c>
      <c r="H45" s="2" t="s">
        <v>70</v>
      </c>
      <c r="I45" s="2" t="s">
        <v>191</v>
      </c>
      <c r="J45" s="2" t="s">
        <v>42</v>
      </c>
      <c r="K45" s="2" t="s">
        <v>43</v>
      </c>
      <c r="L45" s="2" t="s">
        <v>159</v>
      </c>
      <c r="M45" s="2" t="s">
        <v>45</v>
      </c>
      <c r="N45" s="2" t="s">
        <v>142</v>
      </c>
      <c r="O45" s="3">
        <v>-59.031669999999998</v>
      </c>
      <c r="P45">
        <v>-1</v>
      </c>
    </row>
    <row r="46" spans="1:16" hidden="1" x14ac:dyDescent="0.25">
      <c r="A46" s="1">
        <v>45518</v>
      </c>
      <c r="B46" s="1">
        <v>45135</v>
      </c>
      <c r="C46" s="4">
        <f>(_xlfn.DAYS(Table1[[#This Row],[Data awarii D(a)]],Table1[[#This Row],[Data sprzedaży D(s)]]))/30.44</f>
        <v>12.582128777923783</v>
      </c>
      <c r="D46" s="2" t="s">
        <v>269</v>
      </c>
      <c r="E46" s="2" t="s">
        <v>270</v>
      </c>
      <c r="F46" s="2" t="s">
        <v>271</v>
      </c>
      <c r="G46" s="2" t="s">
        <v>272</v>
      </c>
      <c r="H46" s="2" t="s">
        <v>40</v>
      </c>
      <c r="I46" s="2" t="s">
        <v>273</v>
      </c>
      <c r="J46" s="2" t="s">
        <v>42</v>
      </c>
      <c r="K46" s="2" t="s">
        <v>43</v>
      </c>
      <c r="L46" s="2" t="s">
        <v>165</v>
      </c>
      <c r="M46" s="2" t="s">
        <v>45</v>
      </c>
      <c r="N46" s="2" t="s">
        <v>142</v>
      </c>
      <c r="O46" s="3">
        <v>-45.97833</v>
      </c>
      <c r="P46">
        <v>-1</v>
      </c>
    </row>
    <row r="47" spans="1:16" hidden="1" x14ac:dyDescent="0.25">
      <c r="A47" s="1">
        <v>45169</v>
      </c>
      <c r="B47" s="1">
        <v>45138</v>
      </c>
      <c r="C47" s="4">
        <f>(_xlfn.DAYS(Table1[[#This Row],[Data awarii D(a)]],Table1[[#This Row],[Data sprzedaży D(s)]]))/30.44</f>
        <v>1.0183968462549278</v>
      </c>
      <c r="D47" s="2" t="s">
        <v>274</v>
      </c>
      <c r="E47" t="s">
        <v>115</v>
      </c>
      <c r="F47" t="s">
        <v>275</v>
      </c>
      <c r="G47" t="s">
        <v>276</v>
      </c>
      <c r="H47" s="2" t="s">
        <v>85</v>
      </c>
      <c r="I47" s="2" t="s">
        <v>277</v>
      </c>
      <c r="J47" s="2" t="s">
        <v>42</v>
      </c>
      <c r="K47" s="2" t="s">
        <v>43</v>
      </c>
      <c r="L47" s="12" t="s">
        <v>147</v>
      </c>
      <c r="M47" s="2" t="s">
        <v>45</v>
      </c>
      <c r="N47" s="2" t="s">
        <v>142</v>
      </c>
      <c r="O47" s="13">
        <v>-58.48818</v>
      </c>
      <c r="P47" s="14">
        <v>-1</v>
      </c>
    </row>
    <row r="48" spans="1:16" x14ac:dyDescent="0.25">
      <c r="A48" s="1">
        <v>45457</v>
      </c>
      <c r="B48" s="1">
        <v>45299</v>
      </c>
      <c r="C48" s="4">
        <f>(_xlfn.DAYS(Table1[[#This Row],[Data awarii D(a)]],Table1[[#This Row],[Data sprzedaży D(s)]]))/30.44</f>
        <v>5.19053876478318</v>
      </c>
      <c r="D48" s="2" t="s">
        <v>299</v>
      </c>
      <c r="E48" s="2" t="s">
        <v>171</v>
      </c>
      <c r="F48" s="2" t="s">
        <v>300</v>
      </c>
      <c r="G48" s="2" t="s">
        <v>301</v>
      </c>
      <c r="H48" s="2" t="s">
        <v>100</v>
      </c>
      <c r="I48" s="2" t="s">
        <v>302</v>
      </c>
      <c r="J48" s="2" t="s">
        <v>42</v>
      </c>
      <c r="K48" s="2" t="s">
        <v>43</v>
      </c>
      <c r="L48" s="2" t="s">
        <v>147</v>
      </c>
      <c r="M48" s="2" t="s">
        <v>45</v>
      </c>
      <c r="N48" s="2" t="s">
        <v>142</v>
      </c>
      <c r="O48" s="3">
        <v>-57.424289999999999</v>
      </c>
      <c r="P48">
        <v>-1</v>
      </c>
    </row>
    <row r="49" spans="1:16" hidden="1" x14ac:dyDescent="0.25">
      <c r="A49" s="1">
        <v>45421</v>
      </c>
      <c r="B49" s="1">
        <v>45230</v>
      </c>
      <c r="C49" s="4">
        <f>(_xlfn.DAYS(Table1[[#This Row],[Data awarii D(a)]],Table1[[#This Row],[Data sprzedaży D(s)]]))/30.44</f>
        <v>6.2746386333771351</v>
      </c>
      <c r="D49" s="2" t="s">
        <v>283</v>
      </c>
      <c r="E49" s="2" t="s">
        <v>284</v>
      </c>
      <c r="F49" s="2" t="s">
        <v>285</v>
      </c>
      <c r="G49" s="2" t="s">
        <v>286</v>
      </c>
      <c r="H49" s="2" t="s">
        <v>40</v>
      </c>
      <c r="I49" s="2" t="s">
        <v>287</v>
      </c>
      <c r="J49" s="2" t="s">
        <v>42</v>
      </c>
      <c r="K49" s="2" t="s">
        <v>43</v>
      </c>
      <c r="L49" s="2" t="s">
        <v>288</v>
      </c>
      <c r="M49" s="2" t="s">
        <v>45</v>
      </c>
      <c r="N49" s="2" t="s">
        <v>142</v>
      </c>
      <c r="O49" s="3">
        <v>-73.482560000000007</v>
      </c>
      <c r="P49">
        <v>-1</v>
      </c>
    </row>
    <row r="50" spans="1:16" hidden="1" x14ac:dyDescent="0.25">
      <c r="A50" s="1">
        <v>45260</v>
      </c>
      <c r="B50" s="1">
        <v>45246</v>
      </c>
      <c r="C50" s="4">
        <f>(_xlfn.DAYS(Table1[[#This Row],[Data awarii D(a)]],Table1[[#This Row],[Data sprzedaży D(s)]]))/30.44</f>
        <v>0.45992115637319314</v>
      </c>
      <c r="D50" s="2" t="s">
        <v>289</v>
      </c>
      <c r="E50" t="s">
        <v>290</v>
      </c>
      <c r="F50" t="s">
        <v>291</v>
      </c>
      <c r="G50" t="s">
        <v>292</v>
      </c>
      <c r="H50" s="2" t="s">
        <v>94</v>
      </c>
      <c r="I50" s="2" t="s">
        <v>293</v>
      </c>
      <c r="J50" s="2" t="s">
        <v>42</v>
      </c>
      <c r="K50" s="2" t="s">
        <v>43</v>
      </c>
      <c r="L50" s="12" t="s">
        <v>159</v>
      </c>
      <c r="M50" s="2" t="s">
        <v>45</v>
      </c>
      <c r="N50" s="2" t="s">
        <v>142</v>
      </c>
      <c r="O50" s="13">
        <v>-60.54</v>
      </c>
      <c r="P50" s="14">
        <v>-1</v>
      </c>
    </row>
    <row r="51" spans="1:16" hidden="1" x14ac:dyDescent="0.25">
      <c r="A51" s="1">
        <v>45379</v>
      </c>
      <c r="B51" s="1">
        <v>45250</v>
      </c>
      <c r="C51" s="4">
        <f>(_xlfn.DAYS(Table1[[#This Row],[Data awarii D(a)]],Table1[[#This Row],[Data sprzedaży D(s)]]))/30.44</f>
        <v>4.23784494086728</v>
      </c>
      <c r="D51" s="2" t="s">
        <v>294</v>
      </c>
      <c r="E51" t="s">
        <v>295</v>
      </c>
      <c r="F51" t="s">
        <v>296</v>
      </c>
      <c r="G51" t="s">
        <v>297</v>
      </c>
      <c r="H51" s="2" t="s">
        <v>94</v>
      </c>
      <c r="I51" s="2" t="s">
        <v>298</v>
      </c>
      <c r="J51" s="2" t="s">
        <v>42</v>
      </c>
      <c r="K51" s="2" t="s">
        <v>43</v>
      </c>
      <c r="L51" s="12" t="s">
        <v>159</v>
      </c>
      <c r="M51" s="2" t="s">
        <v>45</v>
      </c>
      <c r="N51" s="2" t="s">
        <v>142</v>
      </c>
      <c r="O51" s="13">
        <v>-76.41</v>
      </c>
      <c r="P51" s="14">
        <v>-1</v>
      </c>
    </row>
    <row r="52" spans="1:16" x14ac:dyDescent="0.25">
      <c r="A52" s="1">
        <v>45412</v>
      </c>
      <c r="B52" s="1">
        <v>45398</v>
      </c>
      <c r="C52" s="4">
        <f>(_xlfn.DAYS(Table1[[#This Row],[Data awarii D(a)]],Table1[[#This Row],[Data sprzedaży D(s)]]))/30.44</f>
        <v>0.45992115637319314</v>
      </c>
      <c r="D52" s="2" t="s">
        <v>308</v>
      </c>
      <c r="E52" s="2" t="s">
        <v>309</v>
      </c>
      <c r="F52" s="2" t="s">
        <v>310</v>
      </c>
      <c r="G52" s="2" t="s">
        <v>311</v>
      </c>
      <c r="H52" s="2" t="s">
        <v>100</v>
      </c>
      <c r="I52" s="2" t="s">
        <v>312</v>
      </c>
      <c r="J52" s="2" t="s">
        <v>42</v>
      </c>
      <c r="K52" s="2" t="s">
        <v>43</v>
      </c>
      <c r="L52" s="2" t="s">
        <v>147</v>
      </c>
      <c r="M52" s="2" t="s">
        <v>45</v>
      </c>
      <c r="N52" s="2" t="s">
        <v>142</v>
      </c>
      <c r="O52" s="3">
        <v>-57.79</v>
      </c>
      <c r="P52">
        <v>-1</v>
      </c>
    </row>
    <row r="53" spans="1:16" hidden="1" x14ac:dyDescent="0.25">
      <c r="A53" s="1">
        <v>45483</v>
      </c>
      <c r="B53" s="1">
        <v>45391</v>
      </c>
      <c r="C53" s="4">
        <f>(_xlfn.DAYS(Table1[[#This Row],[Data awarii D(a)]],Table1[[#This Row],[Data sprzedaży D(s)]]))/30.44</f>
        <v>3.0223390275952693</v>
      </c>
      <c r="D53" s="2" t="s">
        <v>303</v>
      </c>
      <c r="E53" s="2" t="s">
        <v>304</v>
      </c>
      <c r="F53" s="2" t="s">
        <v>305</v>
      </c>
      <c r="G53" s="2" t="s">
        <v>306</v>
      </c>
      <c r="H53" s="2" t="s">
        <v>70</v>
      </c>
      <c r="I53" s="2" t="s">
        <v>307</v>
      </c>
      <c r="J53" s="2" t="s">
        <v>42</v>
      </c>
      <c r="K53" s="2" t="s">
        <v>43</v>
      </c>
      <c r="L53" s="2" t="s">
        <v>159</v>
      </c>
      <c r="M53" s="2" t="s">
        <v>45</v>
      </c>
      <c r="N53" s="2" t="s">
        <v>142</v>
      </c>
      <c r="O53" s="3">
        <v>-58.84</v>
      </c>
      <c r="P53">
        <v>-1</v>
      </c>
    </row>
    <row r="54" spans="1:16" x14ac:dyDescent="0.25">
      <c r="A54" s="1">
        <v>45287</v>
      </c>
      <c r="B54" s="1">
        <v>45198</v>
      </c>
      <c r="C54" s="4">
        <f>(_xlfn.DAYS(Table1[[#This Row],[Data awarii D(a)]],Table1[[#This Row],[Data sprzedaży D(s)]]))/30.44</f>
        <v>2.9237844940867279</v>
      </c>
      <c r="D54" s="2" t="s">
        <v>121</v>
      </c>
      <c r="E54" t="s">
        <v>122</v>
      </c>
      <c r="F54" t="s">
        <v>123</v>
      </c>
      <c r="G54" t="s">
        <v>124</v>
      </c>
      <c r="H54" s="22" t="s">
        <v>100</v>
      </c>
      <c r="I54" s="2" t="s">
        <v>125</v>
      </c>
      <c r="J54" s="2" t="s">
        <v>42</v>
      </c>
      <c r="K54" s="2" t="s">
        <v>43</v>
      </c>
      <c r="L54" s="12" t="s">
        <v>108</v>
      </c>
      <c r="M54" s="2" t="s">
        <v>45</v>
      </c>
      <c r="N54" s="2" t="s">
        <v>80</v>
      </c>
      <c r="O54" s="13">
        <v>-5.8</v>
      </c>
      <c r="P54" s="14">
        <v>-1</v>
      </c>
    </row>
    <row r="55" spans="1:16" hidden="1" x14ac:dyDescent="0.25">
      <c r="A55" s="1">
        <v>45492</v>
      </c>
      <c r="B55" s="1">
        <v>45482</v>
      </c>
      <c r="C55" s="4">
        <f>(_xlfn.DAYS(Table1[[#This Row],[Data awarii D(a)]],Table1[[#This Row],[Data sprzedaży D(s)]]))/30.44</f>
        <v>0.32851511169513797</v>
      </c>
      <c r="D55" s="2" t="s">
        <v>313</v>
      </c>
      <c r="E55" s="2" t="s">
        <v>314</v>
      </c>
      <c r="F55" s="2" t="s">
        <v>315</v>
      </c>
      <c r="G55" s="2" t="s">
        <v>316</v>
      </c>
      <c r="H55" s="2" t="s">
        <v>40</v>
      </c>
      <c r="I55" s="2" t="s">
        <v>317</v>
      </c>
      <c r="J55" s="2" t="s">
        <v>42</v>
      </c>
      <c r="K55" s="2" t="s">
        <v>43</v>
      </c>
      <c r="L55" s="2" t="s">
        <v>141</v>
      </c>
      <c r="M55" s="2" t="s">
        <v>45</v>
      </c>
      <c r="N55" s="2" t="s">
        <v>142</v>
      </c>
      <c r="O55" s="3">
        <v>-927.18332999999996</v>
      </c>
      <c r="P55">
        <v>-1</v>
      </c>
    </row>
    <row r="56" spans="1:16" hidden="1" x14ac:dyDescent="0.25">
      <c r="A56" s="1">
        <v>45530</v>
      </c>
      <c r="B56" s="1">
        <v>45492</v>
      </c>
      <c r="C56" s="4">
        <f>(_xlfn.DAYS(Table1[[#This Row],[Data awarii D(a)]],Table1[[#This Row],[Data sprzedaży D(s)]]))/30.44</f>
        <v>1.2483574244415243</v>
      </c>
      <c r="D56" s="2" t="s">
        <v>318</v>
      </c>
      <c r="E56" s="2" t="s">
        <v>193</v>
      </c>
      <c r="F56" s="2" t="s">
        <v>319</v>
      </c>
      <c r="G56" s="2" t="s">
        <v>195</v>
      </c>
      <c r="H56" s="2" t="s">
        <v>85</v>
      </c>
      <c r="I56" s="2" t="s">
        <v>196</v>
      </c>
      <c r="J56" s="2" t="s">
        <v>42</v>
      </c>
      <c r="K56" s="2" t="s">
        <v>43</v>
      </c>
      <c r="L56" s="2" t="s">
        <v>147</v>
      </c>
      <c r="M56" s="2" t="s">
        <v>45</v>
      </c>
      <c r="N56" s="2" t="s">
        <v>142</v>
      </c>
      <c r="O56" s="3">
        <v>-55.23</v>
      </c>
      <c r="P56">
        <v>-1</v>
      </c>
    </row>
    <row r="57" spans="1:16" hidden="1" x14ac:dyDescent="0.25">
      <c r="A57" s="1">
        <v>45684</v>
      </c>
      <c r="B57" s="1">
        <v>45625</v>
      </c>
      <c r="C57" s="4">
        <f>(_xlfn.DAYS(Table1[[#This Row],[Data awarii D(a)]],Table1[[#This Row],[Data sprzedaży D(s)]]))/30.44</f>
        <v>1.9382391590013139</v>
      </c>
      <c r="D57" s="2" t="s">
        <v>320</v>
      </c>
      <c r="E57" s="2" t="s">
        <v>37</v>
      </c>
      <c r="F57" s="2" t="s">
        <v>321</v>
      </c>
      <c r="G57" s="2" t="s">
        <v>322</v>
      </c>
      <c r="H57" s="2" t="s">
        <v>40</v>
      </c>
      <c r="I57" s="2" t="s">
        <v>323</v>
      </c>
      <c r="J57" s="2" t="s">
        <v>42</v>
      </c>
      <c r="K57" s="2" t="s">
        <v>43</v>
      </c>
      <c r="L57" s="2" t="s">
        <v>165</v>
      </c>
      <c r="M57" s="2" t="s">
        <v>45</v>
      </c>
      <c r="N57" s="2" t="s">
        <v>142</v>
      </c>
      <c r="O57" s="3">
        <v>-51.034999999999997</v>
      </c>
      <c r="P57">
        <v>-1</v>
      </c>
    </row>
    <row r="58" spans="1:16" hidden="1" x14ac:dyDescent="0.25">
      <c r="A58" s="1">
        <v>45741</v>
      </c>
      <c r="B58" s="1">
        <v>45089</v>
      </c>
      <c r="C58" s="4">
        <f>(_xlfn.DAYS(Table1[[#This Row],[Data awarii D(a)]],Table1[[#This Row],[Data sprzedaży D(s)]]))/30.44</f>
        <v>21.419185282522996</v>
      </c>
      <c r="D58" s="2" t="s">
        <v>324</v>
      </c>
      <c r="E58" s="2" t="s">
        <v>260</v>
      </c>
      <c r="F58" s="2" t="s">
        <v>325</v>
      </c>
      <c r="G58" s="2" t="s">
        <v>262</v>
      </c>
      <c r="H58" s="2" t="s">
        <v>40</v>
      </c>
      <c r="I58" s="2" t="s">
        <v>263</v>
      </c>
      <c r="J58" s="2" t="s">
        <v>42</v>
      </c>
      <c r="K58" s="2" t="s">
        <v>43</v>
      </c>
      <c r="L58" s="2" t="s">
        <v>326</v>
      </c>
      <c r="M58" s="2" t="s">
        <v>45</v>
      </c>
      <c r="N58" s="2" t="s">
        <v>327</v>
      </c>
      <c r="O58" s="3">
        <v>-1</v>
      </c>
      <c r="P58">
        <v>-2</v>
      </c>
    </row>
    <row r="59" spans="1:16" hidden="1" x14ac:dyDescent="0.25">
      <c r="A59" s="1">
        <v>45502</v>
      </c>
      <c r="B59" s="1">
        <v>45314</v>
      </c>
      <c r="C59" s="4">
        <f>(_xlfn.DAYS(Table1[[#This Row],[Data awarii D(a)]],Table1[[#This Row],[Data sprzedaży D(s)]]))/30.44</f>
        <v>6.1760840998685937</v>
      </c>
      <c r="D59" s="2" t="s">
        <v>328</v>
      </c>
      <c r="E59" s="2" t="s">
        <v>171</v>
      </c>
      <c r="F59" s="2" t="s">
        <v>329</v>
      </c>
      <c r="G59" s="2" t="s">
        <v>330</v>
      </c>
      <c r="H59" s="2" t="s">
        <v>85</v>
      </c>
      <c r="I59" s="2" t="s">
        <v>331</v>
      </c>
      <c r="J59" s="2" t="s">
        <v>42</v>
      </c>
      <c r="K59" s="2" t="s">
        <v>43</v>
      </c>
      <c r="L59" s="2" t="s">
        <v>332</v>
      </c>
      <c r="M59" s="2" t="s">
        <v>45</v>
      </c>
      <c r="N59" s="2" t="s">
        <v>333</v>
      </c>
      <c r="O59" s="3">
        <v>-4.66</v>
      </c>
      <c r="P59">
        <v>-1</v>
      </c>
    </row>
    <row r="60" spans="1:16" hidden="1" x14ac:dyDescent="0.25">
      <c r="A60" s="1">
        <v>45169</v>
      </c>
      <c r="B60" s="1">
        <v>45015</v>
      </c>
      <c r="C60" s="4">
        <f>(_xlfn.DAYS(Table1[[#This Row],[Data awarii D(a)]],Table1[[#This Row],[Data sprzedaży D(s)]]))/30.44</f>
        <v>5.0591327201051248</v>
      </c>
      <c r="D60" s="2" t="s">
        <v>334</v>
      </c>
      <c r="E60" t="s">
        <v>335</v>
      </c>
      <c r="F60" t="s">
        <v>336</v>
      </c>
      <c r="G60" t="s">
        <v>337</v>
      </c>
      <c r="H60" s="2" t="s">
        <v>40</v>
      </c>
      <c r="I60" s="2" t="s">
        <v>338</v>
      </c>
      <c r="J60" s="2" t="s">
        <v>42</v>
      </c>
      <c r="K60" s="2" t="s">
        <v>43</v>
      </c>
      <c r="L60" s="12" t="s">
        <v>339</v>
      </c>
      <c r="M60" s="2" t="s">
        <v>45</v>
      </c>
      <c r="N60" s="2" t="s">
        <v>340</v>
      </c>
      <c r="O60" s="13">
        <v>-73.251329999999996</v>
      </c>
      <c r="P60" s="14">
        <v>-1</v>
      </c>
    </row>
    <row r="61" spans="1:16" x14ac:dyDescent="0.25">
      <c r="A61" s="1">
        <v>45198</v>
      </c>
      <c r="B61" s="1">
        <v>45041</v>
      </c>
      <c r="C61" s="4">
        <f>(_xlfn.DAYS(Table1[[#This Row],[Data awarii D(a)]],Table1[[#This Row],[Data sprzedaży D(s)]]))/30.44</f>
        <v>5.1576872536136662</v>
      </c>
      <c r="D61" s="2" t="s">
        <v>197</v>
      </c>
      <c r="E61" t="s">
        <v>198</v>
      </c>
      <c r="F61" t="s">
        <v>199</v>
      </c>
      <c r="G61" t="s">
        <v>200</v>
      </c>
      <c r="H61" s="2" t="s">
        <v>100</v>
      </c>
      <c r="I61" s="2" t="s">
        <v>201</v>
      </c>
      <c r="J61" s="2" t="s">
        <v>42</v>
      </c>
      <c r="K61" s="2" t="s">
        <v>43</v>
      </c>
      <c r="L61" s="12" t="s">
        <v>181</v>
      </c>
      <c r="M61" s="2" t="s">
        <v>45</v>
      </c>
      <c r="N61" s="2" t="s">
        <v>142</v>
      </c>
      <c r="O61" s="13">
        <v>-154.38499999999999</v>
      </c>
      <c r="P61" s="14">
        <v>-1</v>
      </c>
    </row>
    <row r="62" spans="1:16" hidden="1" x14ac:dyDescent="0.25">
      <c r="A62" s="1">
        <v>45138</v>
      </c>
      <c r="B62" s="1">
        <v>45075</v>
      </c>
      <c r="C62" s="4">
        <f>(_xlfn.DAYS(Table1[[#This Row],[Data awarii D(a)]],Table1[[#This Row],[Data sprzedaży D(s)]]))/30.44</f>
        <v>2.0696452036793693</v>
      </c>
      <c r="D62" s="2" t="s">
        <v>223</v>
      </c>
      <c r="E62" t="s">
        <v>48</v>
      </c>
      <c r="F62" t="s">
        <v>345</v>
      </c>
      <c r="G62" t="s">
        <v>225</v>
      </c>
      <c r="H62" s="2" t="s">
        <v>40</v>
      </c>
      <c r="I62" s="2" t="s">
        <v>226</v>
      </c>
      <c r="J62" s="2" t="s">
        <v>42</v>
      </c>
      <c r="K62" s="2" t="s">
        <v>43</v>
      </c>
      <c r="L62" s="12" t="s">
        <v>346</v>
      </c>
      <c r="M62" s="2" t="s">
        <v>45</v>
      </c>
      <c r="N62" s="2" t="s">
        <v>347</v>
      </c>
      <c r="O62" s="13">
        <v>-58.334290000000003</v>
      </c>
      <c r="P62" s="14">
        <v>-1</v>
      </c>
    </row>
    <row r="63" spans="1:16" hidden="1" x14ac:dyDescent="0.25">
      <c r="A63" s="1">
        <v>45260</v>
      </c>
      <c r="B63" s="1">
        <v>45098</v>
      </c>
      <c r="C63" s="4">
        <f>(_xlfn.DAYS(Table1[[#This Row],[Data awarii D(a)]],Table1[[#This Row],[Data sprzedaży D(s)]]))/30.44</f>
        <v>5.3219448094612352</v>
      </c>
      <c r="D63" s="2" t="s">
        <v>259</v>
      </c>
      <c r="E63" t="s">
        <v>260</v>
      </c>
      <c r="F63" t="s">
        <v>261</v>
      </c>
      <c r="G63" t="s">
        <v>262</v>
      </c>
      <c r="H63" s="2" t="s">
        <v>40</v>
      </c>
      <c r="I63" s="2" t="s">
        <v>263</v>
      </c>
      <c r="J63" s="2" t="s">
        <v>42</v>
      </c>
      <c r="K63" s="2" t="s">
        <v>43</v>
      </c>
      <c r="L63" s="12" t="s">
        <v>348</v>
      </c>
      <c r="M63" s="2" t="s">
        <v>45</v>
      </c>
      <c r="N63" s="2" t="s">
        <v>349</v>
      </c>
      <c r="O63" s="13">
        <v>-358.33</v>
      </c>
      <c r="P63" s="14">
        <v>-1</v>
      </c>
    </row>
    <row r="64" spans="1:16" hidden="1" x14ac:dyDescent="0.25">
      <c r="A64" s="1">
        <v>45230</v>
      </c>
      <c r="B64" s="1">
        <v>45205</v>
      </c>
      <c r="C64" s="4">
        <f>(_xlfn.DAYS(Table1[[#This Row],[Data awarii D(a)]],Table1[[#This Row],[Data sprzedaży D(s)]]))/30.44</f>
        <v>0.82128777923784491</v>
      </c>
      <c r="D64" s="2" t="s">
        <v>350</v>
      </c>
      <c r="E64" t="s">
        <v>351</v>
      </c>
      <c r="F64" t="s">
        <v>352</v>
      </c>
      <c r="G64" t="s">
        <v>353</v>
      </c>
      <c r="H64" s="2" t="s">
        <v>94</v>
      </c>
      <c r="I64" s="2" t="s">
        <v>354</v>
      </c>
      <c r="J64" s="2" t="s">
        <v>42</v>
      </c>
      <c r="K64" s="2" t="s">
        <v>43</v>
      </c>
      <c r="L64" s="12" t="s">
        <v>355</v>
      </c>
      <c r="M64" s="2" t="s">
        <v>45</v>
      </c>
      <c r="N64" s="2" t="s">
        <v>356</v>
      </c>
      <c r="O64" s="13">
        <v>-6.8644400000000001</v>
      </c>
      <c r="P64" s="14">
        <v>-1</v>
      </c>
    </row>
    <row r="65" spans="1:16" hidden="1" x14ac:dyDescent="0.25">
      <c r="A65" s="1">
        <v>45638</v>
      </c>
      <c r="B65" s="1">
        <v>45064</v>
      </c>
      <c r="C65" s="4">
        <f>(_xlfn.DAYS(Table1[[#This Row],[Data awarii D(a)]],Table1[[#This Row],[Data sprzedaży D(s)]]))/30.44</f>
        <v>18.856767411300918</v>
      </c>
      <c r="D65" s="2" t="s">
        <v>357</v>
      </c>
      <c r="E65" s="2" t="s">
        <v>358</v>
      </c>
      <c r="F65" s="2" t="s">
        <v>359</v>
      </c>
      <c r="G65" s="2" t="s">
        <v>360</v>
      </c>
      <c r="H65" s="2" t="s">
        <v>361</v>
      </c>
      <c r="I65" s="2" t="s">
        <v>362</v>
      </c>
      <c r="J65" s="2" t="s">
        <v>42</v>
      </c>
      <c r="K65" s="2" t="s">
        <v>43</v>
      </c>
      <c r="L65" s="2" t="s">
        <v>363</v>
      </c>
      <c r="M65" s="2" t="s">
        <v>45</v>
      </c>
      <c r="N65" s="2" t="s">
        <v>364</v>
      </c>
      <c r="O65" s="3">
        <v>-5.5</v>
      </c>
      <c r="P65">
        <v>-1</v>
      </c>
    </row>
    <row r="66" spans="1:16" hidden="1" x14ac:dyDescent="0.25">
      <c r="A66" s="1">
        <v>45138</v>
      </c>
      <c r="B66" s="1">
        <v>45096</v>
      </c>
      <c r="C66" s="4">
        <f>(_xlfn.DAYS(Table1[[#This Row],[Data awarii D(a)]],Table1[[#This Row],[Data sprzedaży D(s)]]))/30.44</f>
        <v>1.3797634691195795</v>
      </c>
      <c r="D66" s="2" t="s">
        <v>160</v>
      </c>
      <c r="E66" t="s">
        <v>161</v>
      </c>
      <c r="F66" t="s">
        <v>162</v>
      </c>
      <c r="G66" t="s">
        <v>163</v>
      </c>
      <c r="H66" s="2" t="s">
        <v>40</v>
      </c>
      <c r="I66" s="2" t="s">
        <v>164</v>
      </c>
      <c r="J66" s="2" t="s">
        <v>42</v>
      </c>
      <c r="K66" s="2" t="s">
        <v>43</v>
      </c>
      <c r="L66" s="12" t="s">
        <v>365</v>
      </c>
      <c r="M66" s="2" t="s">
        <v>45</v>
      </c>
      <c r="N66" s="2" t="s">
        <v>366</v>
      </c>
      <c r="O66" s="13">
        <v>-103.75</v>
      </c>
      <c r="P66" s="14">
        <v>-1</v>
      </c>
    </row>
    <row r="67" spans="1:16" hidden="1" x14ac:dyDescent="0.25">
      <c r="A67" s="1">
        <v>45138</v>
      </c>
      <c r="B67" s="1">
        <v>45117</v>
      </c>
      <c r="C67" s="4">
        <f>(_xlfn.DAYS(Table1[[#This Row],[Data awarii D(a)]],Table1[[#This Row],[Data sprzedaży D(s)]]))/30.44</f>
        <v>0.68988173455978974</v>
      </c>
      <c r="D67" s="2" t="s">
        <v>367</v>
      </c>
      <c r="E67" t="s">
        <v>368</v>
      </c>
      <c r="F67" t="s">
        <v>369</v>
      </c>
      <c r="G67" t="s">
        <v>370</v>
      </c>
      <c r="H67" s="2" t="s">
        <v>40</v>
      </c>
      <c r="I67" s="2" t="s">
        <v>371</v>
      </c>
      <c r="J67" s="2" t="s">
        <v>42</v>
      </c>
      <c r="K67" s="2" t="s">
        <v>43</v>
      </c>
      <c r="L67" s="12" t="s">
        <v>365</v>
      </c>
      <c r="M67" s="2" t="s">
        <v>45</v>
      </c>
      <c r="N67" s="2" t="s">
        <v>372</v>
      </c>
      <c r="O67" s="13">
        <v>-103.75</v>
      </c>
      <c r="P67" s="14">
        <v>-1</v>
      </c>
    </row>
    <row r="68" spans="1:16" hidden="1" x14ac:dyDescent="0.25">
      <c r="A68" s="1">
        <v>45796</v>
      </c>
      <c r="B68" s="1">
        <v>45181</v>
      </c>
      <c r="C68" s="4">
        <f>(_xlfn.DAYS(Table1[[#This Row],[Data awarii D(a)]],Table1[[#This Row],[Data sprzedaży D(s)]]))/30.44</f>
        <v>20.203679369250985</v>
      </c>
      <c r="D68" s="2" t="s">
        <v>373</v>
      </c>
      <c r="E68" s="2" t="s">
        <v>374</v>
      </c>
      <c r="F68" s="2" t="s">
        <v>375</v>
      </c>
      <c r="G68" s="2" t="s">
        <v>376</v>
      </c>
      <c r="H68" s="2" t="s">
        <v>40</v>
      </c>
      <c r="I68" s="2" t="s">
        <v>377</v>
      </c>
      <c r="J68" s="2" t="s">
        <v>42</v>
      </c>
      <c r="K68" s="2" t="s">
        <v>43</v>
      </c>
      <c r="L68" s="2" t="s">
        <v>365</v>
      </c>
      <c r="M68" s="2" t="s">
        <v>45</v>
      </c>
      <c r="N68" s="2" t="s">
        <v>378</v>
      </c>
      <c r="O68" s="3">
        <v>-43.73</v>
      </c>
      <c r="P68">
        <v>-1</v>
      </c>
    </row>
    <row r="69" spans="1:16" x14ac:dyDescent="0.25">
      <c r="A69" s="1">
        <v>45169</v>
      </c>
      <c r="B69" s="1">
        <v>45107</v>
      </c>
      <c r="C69" s="4">
        <f>(_xlfn.DAYS(Table1[[#This Row],[Data awarii D(a)]],Table1[[#This Row],[Data sprzedaży D(s)]]))/30.44</f>
        <v>2.0367936925098555</v>
      </c>
      <c r="D69" s="2" t="s">
        <v>103</v>
      </c>
      <c r="E69" t="s">
        <v>104</v>
      </c>
      <c r="F69" t="s">
        <v>105</v>
      </c>
      <c r="G69" t="s">
        <v>106</v>
      </c>
      <c r="H69" s="22" t="s">
        <v>100</v>
      </c>
      <c r="I69" s="2" t="s">
        <v>107</v>
      </c>
      <c r="J69" s="2" t="s">
        <v>42</v>
      </c>
      <c r="K69" s="2" t="s">
        <v>43</v>
      </c>
      <c r="L69" s="12" t="s">
        <v>108</v>
      </c>
      <c r="M69" s="2" t="s">
        <v>45</v>
      </c>
      <c r="N69" s="2" t="s">
        <v>80</v>
      </c>
      <c r="O69" s="13">
        <v>-3.7749999999999999</v>
      </c>
      <c r="P69" s="14">
        <v>-1</v>
      </c>
    </row>
    <row r="70" spans="1:16" x14ac:dyDescent="0.25">
      <c r="A70" s="1">
        <v>45169</v>
      </c>
      <c r="B70" s="1">
        <v>44987</v>
      </c>
      <c r="C70" s="4">
        <f>(_xlfn.DAYS(Table1[[#This Row],[Data awarii D(a)]],Table1[[#This Row],[Data sprzedaży D(s)]]))/30.44</f>
        <v>5.978975032851511</v>
      </c>
      <c r="D70" s="2" t="s">
        <v>176</v>
      </c>
      <c r="E70" t="s">
        <v>177</v>
      </c>
      <c r="F70" t="s">
        <v>178</v>
      </c>
      <c r="G70" t="s">
        <v>179</v>
      </c>
      <c r="H70" s="2" t="s">
        <v>100</v>
      </c>
      <c r="I70" s="2" t="s">
        <v>180</v>
      </c>
      <c r="J70" s="2" t="s">
        <v>42</v>
      </c>
      <c r="K70" s="2" t="s">
        <v>43</v>
      </c>
      <c r="L70" s="12" t="s">
        <v>181</v>
      </c>
      <c r="M70" s="2" t="s">
        <v>45</v>
      </c>
      <c r="N70" s="2" t="s">
        <v>142</v>
      </c>
      <c r="O70" s="13">
        <v>-183.11</v>
      </c>
      <c r="P70" s="14">
        <v>-1</v>
      </c>
    </row>
    <row r="71" spans="1:16" hidden="1" x14ac:dyDescent="0.25">
      <c r="A71" s="1">
        <v>45482</v>
      </c>
      <c r="B71" s="1">
        <v>45391</v>
      </c>
      <c r="C71" s="4">
        <f>(_xlfn.DAYS(Table1[[#This Row],[Data awarii D(a)]],Table1[[#This Row],[Data sprzedaży D(s)]]))/30.44</f>
        <v>2.9894875164257555</v>
      </c>
      <c r="D71" s="2" t="s">
        <v>387</v>
      </c>
      <c r="E71" s="2" t="s">
        <v>388</v>
      </c>
      <c r="F71" s="2" t="s">
        <v>389</v>
      </c>
      <c r="G71" s="2" t="s">
        <v>390</v>
      </c>
      <c r="H71" s="2" t="s">
        <v>85</v>
      </c>
      <c r="I71" s="2" t="s">
        <v>391</v>
      </c>
      <c r="J71" s="2" t="s">
        <v>42</v>
      </c>
      <c r="K71" s="2" t="s">
        <v>43</v>
      </c>
      <c r="L71" s="2" t="s">
        <v>343</v>
      </c>
      <c r="M71" s="2" t="s">
        <v>45</v>
      </c>
      <c r="N71" s="2" t="s">
        <v>384</v>
      </c>
      <c r="O71" s="3">
        <v>-86.61</v>
      </c>
      <c r="P71">
        <v>-1</v>
      </c>
    </row>
    <row r="72" spans="1:16" hidden="1" x14ac:dyDescent="0.25">
      <c r="A72" s="1">
        <v>45518</v>
      </c>
      <c r="B72" s="1">
        <v>45482</v>
      </c>
      <c r="C72" s="4">
        <f>(_xlfn.DAYS(Table1[[#This Row],[Data awarii D(a)]],Table1[[#This Row],[Data sprzedaży D(s)]]))/30.44</f>
        <v>1.1826544021024967</v>
      </c>
      <c r="D72" s="2" t="s">
        <v>243</v>
      </c>
      <c r="E72" s="2" t="s">
        <v>244</v>
      </c>
      <c r="F72" s="2" t="s">
        <v>392</v>
      </c>
      <c r="G72" s="2" t="s">
        <v>246</v>
      </c>
      <c r="H72" s="2" t="s">
        <v>247</v>
      </c>
      <c r="I72" s="2" t="s">
        <v>248</v>
      </c>
      <c r="J72" s="2" t="s">
        <v>42</v>
      </c>
      <c r="K72" s="2" t="s">
        <v>43</v>
      </c>
      <c r="L72" s="2" t="s">
        <v>393</v>
      </c>
      <c r="M72" s="2" t="s">
        <v>45</v>
      </c>
      <c r="N72" s="2" t="s">
        <v>384</v>
      </c>
      <c r="O72" s="3">
        <v>-62.06</v>
      </c>
      <c r="P72">
        <v>-1</v>
      </c>
    </row>
    <row r="73" spans="1:16" x14ac:dyDescent="0.25">
      <c r="A73" s="1">
        <v>45169</v>
      </c>
      <c r="B73" s="1">
        <v>45105</v>
      </c>
      <c r="C73" s="4">
        <f>(_xlfn.DAYS(Table1[[#This Row],[Data awarii D(a)]],Table1[[#This Row],[Data sprzedaży D(s)]]))/30.44</f>
        <v>2.1024967148488831</v>
      </c>
      <c r="D73" s="2" t="s">
        <v>218</v>
      </c>
      <c r="E73" t="s">
        <v>219</v>
      </c>
      <c r="F73" t="s">
        <v>220</v>
      </c>
      <c r="G73" t="s">
        <v>221</v>
      </c>
      <c r="H73" s="2" t="s">
        <v>100</v>
      </c>
      <c r="I73" s="2" t="s">
        <v>222</v>
      </c>
      <c r="J73" s="2" t="s">
        <v>42</v>
      </c>
      <c r="K73" s="2" t="s">
        <v>43</v>
      </c>
      <c r="L73" s="12" t="s">
        <v>181</v>
      </c>
      <c r="M73" s="2" t="s">
        <v>45</v>
      </c>
      <c r="N73" s="2" t="s">
        <v>142</v>
      </c>
      <c r="O73" s="13">
        <v>-154.38200000000001</v>
      </c>
      <c r="P73" s="14">
        <v>-1</v>
      </c>
    </row>
    <row r="74" spans="1:16" x14ac:dyDescent="0.25">
      <c r="A74" s="1">
        <v>45169</v>
      </c>
      <c r="B74" s="1">
        <v>45076</v>
      </c>
      <c r="C74" s="4">
        <f>(_xlfn.DAYS(Table1[[#This Row],[Data awarii D(a)]],Table1[[#This Row],[Data sprzedaży D(s)]]))/30.44</f>
        <v>3.0551905387647831</v>
      </c>
      <c r="D74" s="2" t="s">
        <v>341</v>
      </c>
      <c r="E74" t="s">
        <v>155</v>
      </c>
      <c r="F74" t="s">
        <v>342</v>
      </c>
      <c r="G74" t="s">
        <v>168</v>
      </c>
      <c r="H74" s="2" t="s">
        <v>100</v>
      </c>
      <c r="I74" s="2" t="s">
        <v>169</v>
      </c>
      <c r="J74" s="2" t="s">
        <v>42</v>
      </c>
      <c r="K74" s="2" t="s">
        <v>43</v>
      </c>
      <c r="L74" s="12" t="s">
        <v>343</v>
      </c>
      <c r="M74" s="2" t="s">
        <v>45</v>
      </c>
      <c r="N74" s="2" t="s">
        <v>344</v>
      </c>
      <c r="O74" s="13">
        <v>-68.508459999999999</v>
      </c>
      <c r="P74" s="14">
        <v>-1</v>
      </c>
    </row>
    <row r="75" spans="1:16" hidden="1" x14ac:dyDescent="0.25">
      <c r="A75" s="1">
        <v>45684</v>
      </c>
      <c r="B75" s="1">
        <v>45016</v>
      </c>
      <c r="C75" s="4">
        <f>(_xlfn.DAYS(Table1[[#This Row],[Data awarii D(a)]],Table1[[#This Row],[Data sprzedaży D(s)]]))/30.44</f>
        <v>21.944809461235216</v>
      </c>
      <c r="D75" s="2" t="s">
        <v>320</v>
      </c>
      <c r="E75" s="2" t="s">
        <v>37</v>
      </c>
      <c r="F75" s="2" t="s">
        <v>321</v>
      </c>
      <c r="G75" s="2" t="s">
        <v>322</v>
      </c>
      <c r="H75" s="2" t="s">
        <v>40</v>
      </c>
      <c r="I75" s="2" t="s">
        <v>323</v>
      </c>
      <c r="J75" s="2" t="s">
        <v>42</v>
      </c>
      <c r="K75" s="2" t="s">
        <v>43</v>
      </c>
      <c r="L75" s="2" t="s">
        <v>343</v>
      </c>
      <c r="M75" s="2" t="s">
        <v>45</v>
      </c>
      <c r="N75" s="2" t="s">
        <v>384</v>
      </c>
      <c r="O75" s="3">
        <v>-79.989999999999995</v>
      </c>
      <c r="P75">
        <v>-1</v>
      </c>
    </row>
    <row r="76" spans="1:16" hidden="1" x14ac:dyDescent="0.25">
      <c r="A76" s="1">
        <v>45757</v>
      </c>
      <c r="B76" s="1">
        <v>44902</v>
      </c>
      <c r="C76" s="4">
        <f>(_xlfn.DAYS(Table1[[#This Row],[Data awarii D(a)]],Table1[[#This Row],[Data sprzedaży D(s)]]))/30.44</f>
        <v>28.088042049934295</v>
      </c>
      <c r="D76" s="2" t="s">
        <v>398</v>
      </c>
      <c r="E76" s="2" t="s">
        <v>399</v>
      </c>
      <c r="F76" s="2" t="s">
        <v>400</v>
      </c>
      <c r="G76" s="2" t="s">
        <v>401</v>
      </c>
      <c r="H76" s="2" t="s">
        <v>247</v>
      </c>
      <c r="I76" s="2" t="s">
        <v>402</v>
      </c>
      <c r="J76" s="2" t="s">
        <v>42</v>
      </c>
      <c r="K76" s="2" t="s">
        <v>43</v>
      </c>
      <c r="L76" s="2" t="s">
        <v>403</v>
      </c>
      <c r="M76" s="2" t="s">
        <v>53</v>
      </c>
      <c r="N76" s="2" t="s">
        <v>404</v>
      </c>
      <c r="O76" s="3">
        <v>-16.46143</v>
      </c>
      <c r="P76">
        <v>-1</v>
      </c>
    </row>
    <row r="77" spans="1:16" hidden="1" x14ac:dyDescent="0.25">
      <c r="A77" s="1">
        <v>45169</v>
      </c>
      <c r="B77" s="1">
        <v>45034</v>
      </c>
      <c r="C77" s="4">
        <f>(_xlfn.DAYS(Table1[[#This Row],[Data awarii D(a)]],Table1[[#This Row],[Data sprzedaży D(s)]]))/30.44</f>
        <v>4.4349540078843628</v>
      </c>
      <c r="D77" s="2" t="s">
        <v>405</v>
      </c>
      <c r="E77" t="s">
        <v>406</v>
      </c>
      <c r="F77" t="s">
        <v>407</v>
      </c>
      <c r="G77" t="s">
        <v>408</v>
      </c>
      <c r="H77" s="2" t="s">
        <v>40</v>
      </c>
      <c r="I77" s="2" t="s">
        <v>409</v>
      </c>
      <c r="J77" s="2" t="s">
        <v>42</v>
      </c>
      <c r="K77" s="2" t="s">
        <v>43</v>
      </c>
      <c r="L77" s="12" t="s">
        <v>410</v>
      </c>
      <c r="M77" s="2" t="s">
        <v>53</v>
      </c>
      <c r="N77" s="2" t="s">
        <v>404</v>
      </c>
      <c r="O77" s="13">
        <v>-15.62</v>
      </c>
      <c r="P77" s="14">
        <v>-1</v>
      </c>
    </row>
    <row r="78" spans="1:16" hidden="1" x14ac:dyDescent="0.25">
      <c r="A78" s="1">
        <v>45289</v>
      </c>
      <c r="B78" s="1">
        <v>45229</v>
      </c>
      <c r="C78" s="4">
        <f>(_xlfn.DAYS(Table1[[#This Row],[Data awarii D(a)]],Table1[[#This Row],[Data sprzedaży D(s)]]))/30.44</f>
        <v>1.9710906701708277</v>
      </c>
      <c r="D78" s="2" t="s">
        <v>55</v>
      </c>
      <c r="E78" t="s">
        <v>56</v>
      </c>
      <c r="F78" t="s">
        <v>57</v>
      </c>
      <c r="G78" t="s">
        <v>58</v>
      </c>
      <c r="H78" s="2" t="s">
        <v>40</v>
      </c>
      <c r="I78" s="2" t="s">
        <v>59</v>
      </c>
      <c r="J78" s="2" t="s">
        <v>42</v>
      </c>
      <c r="K78" s="2" t="s">
        <v>43</v>
      </c>
      <c r="L78" s="12" t="s">
        <v>403</v>
      </c>
      <c r="M78" s="2" t="s">
        <v>53</v>
      </c>
      <c r="N78" s="2" t="s">
        <v>404</v>
      </c>
      <c r="O78" s="13">
        <v>-21.85793</v>
      </c>
      <c r="P78" s="14">
        <v>-1</v>
      </c>
    </row>
    <row r="79" spans="1:16" x14ac:dyDescent="0.25">
      <c r="A79" s="1">
        <v>45138</v>
      </c>
      <c r="B79" s="1">
        <v>44753</v>
      </c>
      <c r="C79" s="4">
        <f>(_xlfn.DAYS(Table1[[#This Row],[Data awarii D(a)]],Table1[[#This Row],[Data sprzedaży D(s)]]))/30.44</f>
        <v>12.647831800262811</v>
      </c>
      <c r="D79" s="2" t="s">
        <v>166</v>
      </c>
      <c r="E79" t="s">
        <v>155</v>
      </c>
      <c r="F79" t="s">
        <v>167</v>
      </c>
      <c r="G79" t="s">
        <v>168</v>
      </c>
      <c r="H79" s="2" t="s">
        <v>100</v>
      </c>
      <c r="I79" s="2" t="s">
        <v>169</v>
      </c>
      <c r="J79" s="2" t="s">
        <v>42</v>
      </c>
      <c r="K79" s="2" t="s">
        <v>43</v>
      </c>
      <c r="L79" s="12" t="s">
        <v>147</v>
      </c>
      <c r="M79" s="2" t="s">
        <v>45</v>
      </c>
      <c r="N79" s="2" t="s">
        <v>142</v>
      </c>
      <c r="O79" s="13">
        <v>-55.137270000000001</v>
      </c>
      <c r="P79" s="14">
        <v>-1</v>
      </c>
    </row>
    <row r="80" spans="1:16" x14ac:dyDescent="0.25">
      <c r="A80" s="1">
        <v>45119</v>
      </c>
      <c r="B80" s="1">
        <v>45092</v>
      </c>
      <c r="C80" s="4">
        <f>(_xlfn.DAYS(Table1[[#This Row],[Data awarii D(a)]],Table1[[#This Row],[Data sprzedaży D(s)]]))/30.44</f>
        <v>0.88699080157687249</v>
      </c>
      <c r="D80" s="2" t="s">
        <v>96</v>
      </c>
      <c r="E80" t="s">
        <v>97</v>
      </c>
      <c r="F80" t="s">
        <v>98</v>
      </c>
      <c r="G80" t="s">
        <v>99</v>
      </c>
      <c r="H80" s="22" t="s">
        <v>100</v>
      </c>
      <c r="I80" s="2" t="s">
        <v>101</v>
      </c>
      <c r="J80" s="2" t="s">
        <v>42</v>
      </c>
      <c r="K80" s="2" t="s">
        <v>43</v>
      </c>
      <c r="L80" s="12" t="s">
        <v>102</v>
      </c>
      <c r="M80" s="2" t="s">
        <v>45</v>
      </c>
      <c r="N80" s="2" t="s">
        <v>80</v>
      </c>
      <c r="O80" s="13">
        <v>-39.630000000000003</v>
      </c>
      <c r="P80" s="14">
        <v>-1</v>
      </c>
    </row>
    <row r="81" spans="1:16" hidden="1" x14ac:dyDescent="0.25">
      <c r="A81" s="1">
        <v>45835</v>
      </c>
      <c r="B81" s="1">
        <v>45730</v>
      </c>
      <c r="C81" s="4">
        <f>(_xlfn.DAYS(Table1[[#This Row],[Data awarii D(a)]],Table1[[#This Row],[Data sprzedaży D(s)]]))/30.44</f>
        <v>3.4494086727989486</v>
      </c>
      <c r="D81" s="2" t="s">
        <v>423</v>
      </c>
      <c r="E81" s="2" t="s">
        <v>424</v>
      </c>
      <c r="F81" s="2" t="s">
        <v>425</v>
      </c>
      <c r="G81" s="2" t="s">
        <v>426</v>
      </c>
      <c r="H81" s="2" t="s">
        <v>85</v>
      </c>
      <c r="I81" s="2" t="s">
        <v>427</v>
      </c>
      <c r="J81" s="2" t="s">
        <v>42</v>
      </c>
      <c r="K81" s="2" t="s">
        <v>43</v>
      </c>
      <c r="L81" s="2" t="s">
        <v>428</v>
      </c>
      <c r="M81" s="2" t="s">
        <v>45</v>
      </c>
      <c r="N81" s="2" t="s">
        <v>429</v>
      </c>
      <c r="O81" s="3">
        <v>-64.760000000000005</v>
      </c>
      <c r="P81">
        <v>-1</v>
      </c>
    </row>
    <row r="82" spans="1:16" hidden="1" x14ac:dyDescent="0.25">
      <c r="A82" s="1">
        <v>45455</v>
      </c>
      <c r="B82" s="1">
        <v>45230</v>
      </c>
      <c r="C82" s="4">
        <f>(_xlfn.DAYS(Table1[[#This Row],[Data awarii D(a)]],Table1[[#This Row],[Data sprzedaży D(s)]]))/30.44</f>
        <v>7.391590013140604</v>
      </c>
      <c r="D82" s="2" t="s">
        <v>430</v>
      </c>
      <c r="E82" s="2" t="s">
        <v>110</v>
      </c>
      <c r="F82" s="2" t="s">
        <v>431</v>
      </c>
      <c r="G82" s="2" t="s">
        <v>432</v>
      </c>
      <c r="H82" s="2" t="s">
        <v>206</v>
      </c>
      <c r="I82" s="2" t="s">
        <v>433</v>
      </c>
      <c r="J82" s="2" t="s">
        <v>42</v>
      </c>
      <c r="K82" s="2" t="s">
        <v>43</v>
      </c>
      <c r="L82" s="2" t="s">
        <v>434</v>
      </c>
      <c r="M82" s="2" t="s">
        <v>45</v>
      </c>
      <c r="N82" s="2" t="s">
        <v>429</v>
      </c>
      <c r="O82" s="3">
        <v>-80.760909999999996</v>
      </c>
      <c r="P82">
        <v>-1</v>
      </c>
    </row>
    <row r="83" spans="1:16" hidden="1" x14ac:dyDescent="0.25">
      <c r="A83" s="1">
        <v>45230</v>
      </c>
      <c r="B83" s="1">
        <v>45064</v>
      </c>
      <c r="C83" s="4">
        <f>(_xlfn.DAYS(Table1[[#This Row],[Data awarii D(a)]],Table1[[#This Row],[Data sprzedaży D(s)]]))/30.44</f>
        <v>5.4533508541392903</v>
      </c>
      <c r="D83" s="2" t="s">
        <v>435</v>
      </c>
      <c r="E83" t="s">
        <v>115</v>
      </c>
      <c r="F83" t="s">
        <v>436</v>
      </c>
      <c r="G83" t="s">
        <v>437</v>
      </c>
      <c r="H83" s="2" t="s">
        <v>40</v>
      </c>
      <c r="I83" s="2" t="s">
        <v>438</v>
      </c>
      <c r="J83" s="2" t="s">
        <v>42</v>
      </c>
      <c r="K83" s="2" t="s">
        <v>43</v>
      </c>
      <c r="L83" s="12" t="s">
        <v>40</v>
      </c>
      <c r="M83" s="2" t="s">
        <v>42</v>
      </c>
      <c r="N83" s="2" t="s">
        <v>43</v>
      </c>
      <c r="O83" s="13">
        <v>-338.90278000000001</v>
      </c>
      <c r="P83" s="14">
        <v>-1</v>
      </c>
    </row>
    <row r="84" spans="1:16" hidden="1" x14ac:dyDescent="0.25">
      <c r="A84" s="1">
        <v>45230</v>
      </c>
      <c r="B84" s="1">
        <v>45169</v>
      </c>
      <c r="C84" s="4">
        <f>(_xlfn.DAYS(Table1[[#This Row],[Data awarii D(a)]],Table1[[#This Row],[Data sprzedaży D(s)]]))/30.44</f>
        <v>2.0039421813403417</v>
      </c>
      <c r="D84" s="2" t="s">
        <v>439</v>
      </c>
      <c r="E84" t="s">
        <v>110</v>
      </c>
      <c r="F84" t="s">
        <v>440</v>
      </c>
      <c r="G84" t="s">
        <v>441</v>
      </c>
      <c r="H84" s="2" t="s">
        <v>40</v>
      </c>
      <c r="I84" s="2" t="s">
        <v>442</v>
      </c>
      <c r="J84" s="2" t="s">
        <v>42</v>
      </c>
      <c r="K84" s="2" t="s">
        <v>43</v>
      </c>
      <c r="L84" s="12" t="s">
        <v>40</v>
      </c>
      <c r="M84" s="2" t="s">
        <v>42</v>
      </c>
      <c r="N84" s="2" t="s">
        <v>43</v>
      </c>
      <c r="O84" s="13">
        <v>-338.26945000000001</v>
      </c>
      <c r="P84" s="14">
        <v>-1</v>
      </c>
    </row>
    <row r="85" spans="1:16" hidden="1" x14ac:dyDescent="0.25">
      <c r="A85" s="1">
        <v>45230</v>
      </c>
      <c r="B85" s="1">
        <v>45181</v>
      </c>
      <c r="C85" s="4">
        <f>(_xlfn.DAYS(Table1[[#This Row],[Data awarii D(a)]],Table1[[#This Row],[Data sprzedaży D(s)]]))/30.44</f>
        <v>1.609724047306176</v>
      </c>
      <c r="D85" s="2" t="s">
        <v>443</v>
      </c>
      <c r="E85" t="s">
        <v>115</v>
      </c>
      <c r="F85" t="s">
        <v>444</v>
      </c>
      <c r="G85" t="s">
        <v>445</v>
      </c>
      <c r="H85" s="2" t="s">
        <v>94</v>
      </c>
      <c r="I85" s="2" t="s">
        <v>446</v>
      </c>
      <c r="J85" s="2" t="s">
        <v>42</v>
      </c>
      <c r="K85" s="2" t="s">
        <v>43</v>
      </c>
      <c r="L85" s="12" t="s">
        <v>94</v>
      </c>
      <c r="M85" s="2" t="s">
        <v>42</v>
      </c>
      <c r="N85" s="2" t="s">
        <v>43</v>
      </c>
      <c r="O85" s="13">
        <v>-429.72357</v>
      </c>
      <c r="P85" s="14">
        <v>-1</v>
      </c>
    </row>
    <row r="86" spans="1:16" hidden="1" x14ac:dyDescent="0.25">
      <c r="A86" s="1">
        <v>45289</v>
      </c>
      <c r="B86" s="1">
        <v>45096</v>
      </c>
      <c r="C86" s="4">
        <f>(_xlfn.DAYS(Table1[[#This Row],[Data awarii D(a)]],Table1[[#This Row],[Data sprzedaży D(s)]]))/30.44</f>
        <v>6.3403416557161627</v>
      </c>
      <c r="D86" s="2" t="s">
        <v>447</v>
      </c>
      <c r="E86" t="s">
        <v>448</v>
      </c>
      <c r="F86" t="s">
        <v>449</v>
      </c>
      <c r="G86" t="s">
        <v>450</v>
      </c>
      <c r="H86" s="2" t="s">
        <v>40</v>
      </c>
      <c r="I86" s="2" t="s">
        <v>451</v>
      </c>
      <c r="J86" s="2" t="s">
        <v>42</v>
      </c>
      <c r="K86" s="2" t="s">
        <v>43</v>
      </c>
      <c r="L86" s="12" t="s">
        <v>452</v>
      </c>
      <c r="M86" s="2" t="s">
        <v>42</v>
      </c>
      <c r="N86" s="2" t="s">
        <v>43</v>
      </c>
      <c r="O86" s="13">
        <v>-327.52</v>
      </c>
      <c r="P86" s="14">
        <v>-1</v>
      </c>
    </row>
    <row r="87" spans="1:16" hidden="1" x14ac:dyDescent="0.25">
      <c r="A87" s="1">
        <v>45322</v>
      </c>
      <c r="B87" s="1">
        <v>45314</v>
      </c>
      <c r="C87" s="4">
        <f>(_xlfn.DAYS(Table1[[#This Row],[Data awarii D(a)]],Table1[[#This Row],[Data sprzedaży D(s)]]))/30.44</f>
        <v>0.26281208935611039</v>
      </c>
      <c r="D87" s="2" t="s">
        <v>453</v>
      </c>
      <c r="E87" t="s">
        <v>454</v>
      </c>
      <c r="F87" t="s">
        <v>455</v>
      </c>
      <c r="G87" t="s">
        <v>456</v>
      </c>
      <c r="H87" s="2" t="s">
        <v>94</v>
      </c>
      <c r="I87" s="2" t="s">
        <v>457</v>
      </c>
      <c r="J87" s="2" t="s">
        <v>42</v>
      </c>
      <c r="K87" s="2" t="s">
        <v>43</v>
      </c>
      <c r="L87" s="12" t="s">
        <v>94</v>
      </c>
      <c r="M87" s="2" t="s">
        <v>42</v>
      </c>
      <c r="N87" s="2" t="s">
        <v>43</v>
      </c>
      <c r="O87" s="13">
        <v>-436.70864</v>
      </c>
      <c r="P87" s="14">
        <v>-1</v>
      </c>
    </row>
    <row r="88" spans="1:16" hidden="1" x14ac:dyDescent="0.25">
      <c r="A88" s="1">
        <v>45334</v>
      </c>
      <c r="B88" s="1">
        <v>45309</v>
      </c>
      <c r="C88" s="4">
        <f>(_xlfn.DAYS(Table1[[#This Row],[Data awarii D(a)]],Table1[[#This Row],[Data sprzedaży D(s)]]))/30.44</f>
        <v>0.82128777923784491</v>
      </c>
      <c r="D88" s="2" t="s">
        <v>458</v>
      </c>
      <c r="E88" t="s">
        <v>459</v>
      </c>
      <c r="F88" t="s">
        <v>460</v>
      </c>
      <c r="G88" t="s">
        <v>461</v>
      </c>
      <c r="H88" s="2" t="s">
        <v>70</v>
      </c>
      <c r="I88" s="2" t="s">
        <v>462</v>
      </c>
      <c r="J88" s="2" t="s">
        <v>42</v>
      </c>
      <c r="K88" s="2" t="s">
        <v>43</v>
      </c>
      <c r="L88" s="12" t="s">
        <v>70</v>
      </c>
      <c r="M88" s="2" t="s">
        <v>42</v>
      </c>
      <c r="N88" s="2" t="s">
        <v>43</v>
      </c>
      <c r="O88" s="13">
        <v>-437.4631</v>
      </c>
      <c r="P88" s="14">
        <v>-1</v>
      </c>
    </row>
    <row r="89" spans="1:16" hidden="1" x14ac:dyDescent="0.25">
      <c r="A89" s="1">
        <v>45526</v>
      </c>
      <c r="B89" s="1">
        <v>44760</v>
      </c>
      <c r="C89" s="4">
        <f>(_xlfn.DAYS(Table1[[#This Row],[Data awarii D(a)]],Table1[[#This Row],[Data sprzedaży D(s)]]))/30.44</f>
        <v>25.164257555847566</v>
      </c>
      <c r="D89" s="2" t="s">
        <v>463</v>
      </c>
      <c r="E89" s="2" t="s">
        <v>464</v>
      </c>
      <c r="F89" s="2" t="s">
        <v>465</v>
      </c>
      <c r="G89" s="2" t="s">
        <v>466</v>
      </c>
      <c r="H89" s="2" t="s">
        <v>70</v>
      </c>
      <c r="I89" s="2" t="s">
        <v>467</v>
      </c>
      <c r="J89" s="2" t="s">
        <v>42</v>
      </c>
      <c r="K89" s="2" t="s">
        <v>43</v>
      </c>
      <c r="L89" s="2" t="s">
        <v>70</v>
      </c>
      <c r="M89" s="2" t="s">
        <v>42</v>
      </c>
      <c r="N89" s="2" t="s">
        <v>43</v>
      </c>
      <c r="O89" s="3">
        <v>-461.18964</v>
      </c>
      <c r="P89">
        <v>-1</v>
      </c>
    </row>
    <row r="90" spans="1:16" hidden="1" x14ac:dyDescent="0.25">
      <c r="A90" s="1">
        <v>45559</v>
      </c>
      <c r="B90" s="1">
        <v>45212</v>
      </c>
      <c r="C90" s="4">
        <f>(_xlfn.DAYS(Table1[[#This Row],[Data awarii D(a)]],Table1[[#This Row],[Data sprzedaży D(s)]]))/30.44</f>
        <v>11.399474375821287</v>
      </c>
      <c r="D90" s="2" t="s">
        <v>468</v>
      </c>
      <c r="E90" s="2" t="s">
        <v>469</v>
      </c>
      <c r="F90" s="2" t="s">
        <v>470</v>
      </c>
      <c r="G90" s="2" t="s">
        <v>471</v>
      </c>
      <c r="H90" s="2" t="s">
        <v>40</v>
      </c>
      <c r="I90" s="2" t="s">
        <v>472</v>
      </c>
      <c r="J90" s="2" t="s">
        <v>42</v>
      </c>
      <c r="K90" s="2" t="s">
        <v>43</v>
      </c>
      <c r="L90" s="2" t="s">
        <v>40</v>
      </c>
      <c r="M90" s="2" t="s">
        <v>42</v>
      </c>
      <c r="N90" s="2" t="s">
        <v>43</v>
      </c>
      <c r="O90" s="3">
        <v>-290.00808000000001</v>
      </c>
      <c r="P90">
        <v>-1</v>
      </c>
    </row>
    <row r="91" spans="1:16" hidden="1" x14ac:dyDescent="0.25">
      <c r="A91" s="1">
        <v>45657</v>
      </c>
      <c r="B91" s="1">
        <v>45622</v>
      </c>
      <c r="C91" s="4">
        <f>(_xlfn.DAYS(Table1[[#This Row],[Data awarii D(a)]],Table1[[#This Row],[Data sprzedaży D(s)]]))/30.44</f>
        <v>1.1498028909329829</v>
      </c>
      <c r="D91" s="2" t="s">
        <v>473</v>
      </c>
      <c r="E91" s="2" t="s">
        <v>474</v>
      </c>
      <c r="F91" s="2" t="s">
        <v>475</v>
      </c>
      <c r="G91" s="2" t="s">
        <v>476</v>
      </c>
      <c r="H91" s="2" t="s">
        <v>85</v>
      </c>
      <c r="I91" s="2" t="s">
        <v>477</v>
      </c>
      <c r="J91" s="2" t="s">
        <v>42</v>
      </c>
      <c r="K91" s="2" t="s">
        <v>43</v>
      </c>
      <c r="L91" s="2" t="s">
        <v>478</v>
      </c>
      <c r="M91" s="2" t="s">
        <v>42</v>
      </c>
      <c r="N91" s="2" t="s">
        <v>43</v>
      </c>
      <c r="O91" s="3">
        <v>-807.60952999999995</v>
      </c>
      <c r="P91">
        <v>-1</v>
      </c>
    </row>
    <row r="92" spans="1:16" hidden="1" x14ac:dyDescent="0.25">
      <c r="A92" s="1">
        <v>45715</v>
      </c>
      <c r="B92" s="1">
        <v>45677</v>
      </c>
      <c r="C92" s="4">
        <f>(_xlfn.DAYS(Table1[[#This Row],[Data awarii D(a)]],Table1[[#This Row],[Data sprzedaży D(s)]]))/30.44</f>
        <v>1.2483574244415243</v>
      </c>
      <c r="D92" s="2" t="s">
        <v>479</v>
      </c>
      <c r="E92" s="2" t="s">
        <v>480</v>
      </c>
      <c r="F92" s="2" t="s">
        <v>481</v>
      </c>
      <c r="G92" s="2" t="s">
        <v>482</v>
      </c>
      <c r="H92" s="2" t="s">
        <v>247</v>
      </c>
      <c r="I92" s="2" t="s">
        <v>483</v>
      </c>
      <c r="J92" s="2" t="s">
        <v>42</v>
      </c>
      <c r="K92" s="2" t="s">
        <v>43</v>
      </c>
      <c r="L92" s="2" t="s">
        <v>247</v>
      </c>
      <c r="M92" s="2" t="s">
        <v>42</v>
      </c>
      <c r="N92" s="2" t="s">
        <v>43</v>
      </c>
      <c r="O92" s="3">
        <v>-291.96539999999999</v>
      </c>
      <c r="P92">
        <v>-1</v>
      </c>
    </row>
    <row r="93" spans="1:16" hidden="1" x14ac:dyDescent="0.25">
      <c r="A93" s="1">
        <v>45737</v>
      </c>
      <c r="B93" s="1">
        <v>45712</v>
      </c>
      <c r="C93" s="4">
        <f>(_xlfn.DAYS(Table1[[#This Row],[Data awarii D(a)]],Table1[[#This Row],[Data sprzedaży D(s)]]))/30.44</f>
        <v>0.82128777923784491</v>
      </c>
      <c r="D93" s="2" t="s">
        <v>484</v>
      </c>
      <c r="E93" s="2" t="s">
        <v>485</v>
      </c>
      <c r="F93" s="2" t="s">
        <v>486</v>
      </c>
      <c r="G93" s="2" t="s">
        <v>487</v>
      </c>
      <c r="H93" s="2" t="s">
        <v>94</v>
      </c>
      <c r="I93" s="2" t="s">
        <v>488</v>
      </c>
      <c r="J93" s="2" t="s">
        <v>42</v>
      </c>
      <c r="K93" s="2" t="s">
        <v>43</v>
      </c>
      <c r="L93" s="2" t="s">
        <v>94</v>
      </c>
      <c r="M93" s="2" t="s">
        <v>42</v>
      </c>
      <c r="N93" s="2" t="s">
        <v>43</v>
      </c>
      <c r="O93" s="3">
        <v>-411.54057</v>
      </c>
      <c r="P93">
        <v>-1</v>
      </c>
    </row>
    <row r="94" spans="1:16" hidden="1" x14ac:dyDescent="0.25">
      <c r="A94" s="1">
        <v>45755</v>
      </c>
      <c r="B94" s="1">
        <v>45504</v>
      </c>
      <c r="C94" s="4">
        <f>(_xlfn.DAYS(Table1[[#This Row],[Data awarii D(a)]],Table1[[#This Row],[Data sprzedaży D(s)]]))/30.44</f>
        <v>8.2457293035479626</v>
      </c>
      <c r="D94" s="2" t="s">
        <v>489</v>
      </c>
      <c r="E94" s="2" t="s">
        <v>490</v>
      </c>
      <c r="F94" s="2" t="s">
        <v>491</v>
      </c>
      <c r="G94" s="2" t="s">
        <v>492</v>
      </c>
      <c r="H94" s="2" t="s">
        <v>70</v>
      </c>
      <c r="I94" s="2" t="s">
        <v>493</v>
      </c>
      <c r="J94" s="2" t="s">
        <v>42</v>
      </c>
      <c r="K94" s="2" t="s">
        <v>43</v>
      </c>
      <c r="L94" s="2" t="s">
        <v>70</v>
      </c>
      <c r="M94" s="2" t="s">
        <v>42</v>
      </c>
      <c r="N94" s="2" t="s">
        <v>43</v>
      </c>
      <c r="O94" s="3">
        <v>-418.93414000000001</v>
      </c>
      <c r="P94">
        <v>-1</v>
      </c>
    </row>
    <row r="95" spans="1:16" hidden="1" x14ac:dyDescent="0.25">
      <c r="A95" s="1">
        <v>45833</v>
      </c>
      <c r="B95" s="1">
        <v>45681</v>
      </c>
      <c r="C95" s="4">
        <f>(_xlfn.DAYS(Table1[[#This Row],[Data awarii D(a)]],Table1[[#This Row],[Data sprzedaży D(s)]]))/30.44</f>
        <v>4.9934296977660972</v>
      </c>
      <c r="D95" s="2" t="s">
        <v>494</v>
      </c>
      <c r="E95" s="2" t="s">
        <v>495</v>
      </c>
      <c r="F95" s="2" t="s">
        <v>496</v>
      </c>
      <c r="G95" s="2" t="s">
        <v>497</v>
      </c>
      <c r="H95" s="2" t="s">
        <v>85</v>
      </c>
      <c r="I95" s="2" t="s">
        <v>498</v>
      </c>
      <c r="J95" s="2" t="s">
        <v>42</v>
      </c>
      <c r="K95" s="2" t="s">
        <v>43</v>
      </c>
      <c r="L95" s="2" t="s">
        <v>85</v>
      </c>
      <c r="M95" s="2" t="s">
        <v>42</v>
      </c>
      <c r="N95" s="2" t="s">
        <v>43</v>
      </c>
      <c r="O95" s="3">
        <v>-305.03834000000001</v>
      </c>
      <c r="P95">
        <v>-1</v>
      </c>
    </row>
    <row r="96" spans="1:16" hidden="1" x14ac:dyDescent="0.25">
      <c r="A96" s="1">
        <v>45833</v>
      </c>
      <c r="B96" s="1">
        <v>45813</v>
      </c>
      <c r="C96" s="4">
        <f>(_xlfn.DAYS(Table1[[#This Row],[Data awarii D(a)]],Table1[[#This Row],[Data sprzedaży D(s)]]))/30.44</f>
        <v>0.65703022339027595</v>
      </c>
      <c r="D96" s="2" t="s">
        <v>499</v>
      </c>
      <c r="E96" s="2" t="s">
        <v>500</v>
      </c>
      <c r="F96" s="2" t="s">
        <v>501</v>
      </c>
      <c r="G96" s="2" t="s">
        <v>502</v>
      </c>
      <c r="H96" s="2" t="s">
        <v>85</v>
      </c>
      <c r="I96" s="2" t="s">
        <v>503</v>
      </c>
      <c r="J96" s="2" t="s">
        <v>42</v>
      </c>
      <c r="K96" s="2" t="s">
        <v>43</v>
      </c>
      <c r="L96" s="2" t="s">
        <v>85</v>
      </c>
      <c r="M96" s="2" t="s">
        <v>42</v>
      </c>
      <c r="N96" s="2" t="s">
        <v>43</v>
      </c>
      <c r="O96" s="3">
        <v>-305.03834000000001</v>
      </c>
      <c r="P96">
        <v>-3</v>
      </c>
    </row>
  </sheetData>
  <phoneticPr fontId="10" type="noConversion"/>
  <conditionalFormatting sqref="C1:C1048576">
    <cfRule type="cellIs" dxfId="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3FD3-5DFC-4753-8887-414B954B81E9}">
  <dimension ref="A1:C10"/>
  <sheetViews>
    <sheetView workbookViewId="0">
      <selection activeCell="C10" sqref="C10"/>
    </sheetView>
  </sheetViews>
  <sheetFormatPr defaultRowHeight="15.75" x14ac:dyDescent="0.25"/>
  <cols>
    <col min="1" max="1" width="9.140625" style="7"/>
    <col min="2" max="2" width="84.42578125" style="7" customWidth="1"/>
    <col min="3" max="16384" width="9.140625" style="7"/>
  </cols>
  <sheetData>
    <row r="1" spans="1:3" ht="18.75" x14ac:dyDescent="0.25">
      <c r="A1" s="6" t="s">
        <v>504</v>
      </c>
      <c r="B1" s="8" t="s">
        <v>505</v>
      </c>
    </row>
    <row r="2" spans="1:3" ht="18.75" x14ac:dyDescent="0.25">
      <c r="A2" s="6" t="s">
        <v>506</v>
      </c>
      <c r="B2" s="8" t="s">
        <v>507</v>
      </c>
    </row>
    <row r="3" spans="1:3" x14ac:dyDescent="0.25">
      <c r="A3" s="6" t="s">
        <v>508</v>
      </c>
      <c r="B3" s="8" t="s">
        <v>509</v>
      </c>
    </row>
    <row r="4" spans="1:3" x14ac:dyDescent="0.25">
      <c r="A4" s="6" t="s">
        <v>510</v>
      </c>
      <c r="B4" s="8" t="s">
        <v>511</v>
      </c>
    </row>
    <row r="5" spans="1:3" x14ac:dyDescent="0.25">
      <c r="A5" s="6" t="s">
        <v>512</v>
      </c>
      <c r="B5" s="8" t="s">
        <v>513</v>
      </c>
    </row>
    <row r="6" spans="1:3" ht="18.75" x14ac:dyDescent="0.25">
      <c r="A6" s="6" t="s">
        <v>514</v>
      </c>
      <c r="B6" s="8" t="s">
        <v>515</v>
      </c>
    </row>
    <row r="7" spans="1:3" ht="18.75" x14ac:dyDescent="0.25">
      <c r="A7" s="6" t="s">
        <v>516</v>
      </c>
      <c r="B7" s="8" t="s">
        <v>517</v>
      </c>
    </row>
    <row r="8" spans="1:3" ht="18.75" x14ac:dyDescent="0.25">
      <c r="A8" s="6" t="s">
        <v>518</v>
      </c>
      <c r="B8" s="8" t="s">
        <v>519</v>
      </c>
    </row>
    <row r="9" spans="1:3" x14ac:dyDescent="0.25">
      <c r="A9" s="6" t="s">
        <v>520</v>
      </c>
      <c r="B9" s="8" t="s">
        <v>521</v>
      </c>
      <c r="C9" s="7">
        <v>5</v>
      </c>
    </row>
    <row r="10" spans="1:3" x14ac:dyDescent="0.25">
      <c r="A10" s="6" t="s">
        <v>522</v>
      </c>
      <c r="B10" s="8" t="s">
        <v>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CB8B-61C2-4502-A113-ABC0F76D8125}">
  <dimension ref="A1:K14"/>
  <sheetViews>
    <sheetView workbookViewId="0">
      <selection activeCell="H2" sqref="H2"/>
    </sheetView>
  </sheetViews>
  <sheetFormatPr defaultRowHeight="15" x14ac:dyDescent="0.25"/>
  <cols>
    <col min="1" max="1" width="21.140625" bestFit="1" customWidth="1"/>
    <col min="4" max="4" width="12.42578125" bestFit="1" customWidth="1"/>
    <col min="5" max="5" width="11.28515625" bestFit="1" customWidth="1"/>
    <col min="8" max="8" width="13.28515625" bestFit="1" customWidth="1"/>
    <col min="9" max="9" width="13.42578125" bestFit="1" customWidth="1"/>
  </cols>
  <sheetData>
    <row r="1" spans="1:11" x14ac:dyDescent="0.25">
      <c r="A1" s="19" t="s">
        <v>8</v>
      </c>
      <c r="B1" s="15" t="s">
        <v>524</v>
      </c>
      <c r="C1" s="15" t="s">
        <v>525</v>
      </c>
      <c r="D1" s="15" t="s">
        <v>526</v>
      </c>
      <c r="E1" s="15" t="s">
        <v>527</v>
      </c>
      <c r="F1" s="15" t="s">
        <v>528</v>
      </c>
      <c r="G1" s="16" t="s">
        <v>529</v>
      </c>
      <c r="H1" s="23" t="s">
        <v>530</v>
      </c>
      <c r="I1" s="15" t="s">
        <v>531</v>
      </c>
    </row>
    <row r="2" spans="1:11" x14ac:dyDescent="0.25">
      <c r="A2" s="20" t="s">
        <v>40</v>
      </c>
      <c r="B2" s="17">
        <v>1346</v>
      </c>
      <c r="C2" s="17">
        <v>2057</v>
      </c>
      <c r="D2" s="17">
        <v>218</v>
      </c>
      <c r="E2" s="17">
        <v>363</v>
      </c>
      <c r="F2" s="17">
        <v>66</v>
      </c>
      <c r="G2" s="18">
        <f>SUM(Tabela3[[#This Row],[2022]:[2025]])</f>
        <v>4050</v>
      </c>
      <c r="H2">
        <f>COUNTIF(awarie!H:H,Tabela3[[#This Row],[Model urządzenia M]])</f>
        <v>29</v>
      </c>
      <c r="I2" s="25">
        <f>Tabela3[[#This Row],[Ilość awarii]]/Tabela3[[#This Row],[W rynku]]</f>
        <v>7.1604938271604942E-3</v>
      </c>
      <c r="K2" t="s">
        <v>532</v>
      </c>
    </row>
    <row r="3" spans="1:11" x14ac:dyDescent="0.25">
      <c r="A3" s="20" t="s">
        <v>452</v>
      </c>
      <c r="B3" s="17"/>
      <c r="C3" s="17">
        <v>75</v>
      </c>
      <c r="D3" s="17">
        <v>7</v>
      </c>
      <c r="E3" s="17"/>
      <c r="F3" s="17"/>
      <c r="G3" s="18">
        <f>SUM(Tabela3[[#This Row],[2022]:[2025]])</f>
        <v>82</v>
      </c>
      <c r="H3">
        <f>COUNTIF(awarie!H:H,Tabela3[[#This Row],[Model urządzenia M]])</f>
        <v>0</v>
      </c>
      <c r="I3" s="25">
        <f>Tabela3[[#This Row],[Ilość awarii]]/Tabela3[[#This Row],[W rynku]]</f>
        <v>0</v>
      </c>
      <c r="K3" t="s">
        <v>533</v>
      </c>
    </row>
    <row r="4" spans="1:11" x14ac:dyDescent="0.25">
      <c r="A4" s="20" t="s">
        <v>100</v>
      </c>
      <c r="B4" s="17">
        <v>2985</v>
      </c>
      <c r="C4" s="17">
        <v>2706</v>
      </c>
      <c r="D4" s="17">
        <v>481</v>
      </c>
      <c r="E4" s="17">
        <v>773</v>
      </c>
      <c r="F4" s="17">
        <v>3</v>
      </c>
      <c r="G4" s="18">
        <f>SUM(Tabela3[[#This Row],[2022]:[2025]])</f>
        <v>6948</v>
      </c>
      <c r="H4">
        <f>COUNTIF(awarie!H:H,Tabela3[[#This Row],[Model urządzenia M]])</f>
        <v>20</v>
      </c>
      <c r="I4" s="25">
        <f>Tabela3[[#This Row],[Ilość awarii]]/Tabela3[[#This Row],[W rynku]]</f>
        <v>2.8785261945883708E-3</v>
      </c>
    </row>
    <row r="5" spans="1:11" x14ac:dyDescent="0.25">
      <c r="A5" s="20" t="s">
        <v>64</v>
      </c>
      <c r="B5" s="17">
        <v>149</v>
      </c>
      <c r="C5" s="17">
        <v>106</v>
      </c>
      <c r="D5" s="17">
        <v>10</v>
      </c>
      <c r="E5" s="17">
        <v>4</v>
      </c>
      <c r="F5" s="17">
        <v>2</v>
      </c>
      <c r="G5" s="18">
        <f>SUM(Tabela3[[#This Row],[2022]:[2025]])</f>
        <v>271</v>
      </c>
      <c r="H5">
        <f>COUNTIF(awarie!H:H,Tabela3[[#This Row],[Model urządzenia M]])</f>
        <v>2</v>
      </c>
      <c r="I5" s="25">
        <f>Tabela3[[#This Row],[Ilość awarii]]/Tabela3[[#This Row],[W rynku]]</f>
        <v>7.3800738007380072E-3</v>
      </c>
    </row>
    <row r="6" spans="1:11" x14ac:dyDescent="0.25">
      <c r="A6" s="20" t="s">
        <v>70</v>
      </c>
      <c r="B6" s="17">
        <v>933</v>
      </c>
      <c r="C6" s="17">
        <v>793</v>
      </c>
      <c r="D6" s="17">
        <v>148</v>
      </c>
      <c r="E6" s="17">
        <v>361</v>
      </c>
      <c r="F6" s="17">
        <v>18</v>
      </c>
      <c r="G6" s="18">
        <f>SUM(Tabela3[[#This Row],[2022]:[2025]])</f>
        <v>2253</v>
      </c>
      <c r="H6">
        <f>COUNTIF(awarie!H:H,Tabela3[[#This Row],[Model urządzenia M]])</f>
        <v>11</v>
      </c>
      <c r="I6" s="25">
        <f>Tabela3[[#This Row],[Ilość awarii]]/Tabela3[[#This Row],[W rynku]]</f>
        <v>4.8823790501553487E-3</v>
      </c>
    </row>
    <row r="7" spans="1:11" x14ac:dyDescent="0.25">
      <c r="A7" s="20" t="s">
        <v>534</v>
      </c>
      <c r="B7" s="17"/>
      <c r="C7" s="17">
        <v>92</v>
      </c>
      <c r="D7" s="17">
        <v>2</v>
      </c>
      <c r="E7" s="17">
        <v>2</v>
      </c>
      <c r="F7" s="17"/>
      <c r="G7" s="18">
        <f>SUM(Tabela3[[#This Row],[2022]:[2025]])</f>
        <v>96</v>
      </c>
      <c r="H7">
        <f>COUNTIF(awarie!H:H,Tabela3[[#This Row],[Model urządzenia M]])</f>
        <v>0</v>
      </c>
      <c r="I7" s="25">
        <f>Tabela3[[#This Row],[Ilość awarii]]/Tabela3[[#This Row],[W rynku]]</f>
        <v>0</v>
      </c>
    </row>
    <row r="8" spans="1:11" x14ac:dyDescent="0.25">
      <c r="A8" s="20" t="s">
        <v>206</v>
      </c>
      <c r="B8" s="17">
        <v>135</v>
      </c>
      <c r="C8" s="17">
        <v>186</v>
      </c>
      <c r="D8" s="17">
        <v>23</v>
      </c>
      <c r="E8" s="17">
        <v>100</v>
      </c>
      <c r="F8" s="17">
        <v>8</v>
      </c>
      <c r="G8" s="18">
        <f>SUM(Tabela3[[#This Row],[2022]:[2025]])</f>
        <v>452</v>
      </c>
      <c r="H8">
        <f>COUNTIF(awarie!H:H,Tabela3[[#This Row],[Model urządzenia M]])</f>
        <v>3</v>
      </c>
      <c r="I8" s="25">
        <f>Tabela3[[#This Row],[Ilość awarii]]/Tabela3[[#This Row],[W rynku]]</f>
        <v>6.6371681415929203E-3</v>
      </c>
    </row>
    <row r="9" spans="1:11" x14ac:dyDescent="0.25">
      <c r="A9" s="20" t="s">
        <v>361</v>
      </c>
      <c r="B9" s="17"/>
      <c r="C9" s="17">
        <v>157</v>
      </c>
      <c r="D9" s="17">
        <v>95</v>
      </c>
      <c r="E9" s="17">
        <v>8</v>
      </c>
      <c r="F9" s="17">
        <v>1</v>
      </c>
      <c r="G9" s="18">
        <f>SUM(Tabela3[[#This Row],[2022]:[2025]])</f>
        <v>261</v>
      </c>
      <c r="H9">
        <f>COUNTIF(awarie!H:H,Tabela3[[#This Row],[Model urządzenia M]])</f>
        <v>1</v>
      </c>
      <c r="I9" s="25">
        <f>Tabela3[[#This Row],[Ilość awarii]]/Tabela3[[#This Row],[W rynku]]</f>
        <v>3.8314176245210726E-3</v>
      </c>
    </row>
    <row r="10" spans="1:11" x14ac:dyDescent="0.25">
      <c r="A10" s="20" t="s">
        <v>247</v>
      </c>
      <c r="B10" s="17"/>
      <c r="C10" s="17">
        <v>112</v>
      </c>
      <c r="D10" s="17">
        <v>84</v>
      </c>
      <c r="E10" s="17">
        <v>297</v>
      </c>
      <c r="F10" s="17">
        <v>380</v>
      </c>
      <c r="G10" s="18">
        <f>SUM(Tabela3[[#This Row],[2022]:[2025]])</f>
        <v>873</v>
      </c>
      <c r="H10">
        <f>COUNTIF(awarie!H:H,Tabela3[[#This Row],[Model urządzenia M]])</f>
        <v>4</v>
      </c>
      <c r="I10" s="25">
        <f>Tabela3[[#This Row],[Ilość awarii]]/Tabela3[[#This Row],[W rynku]]</f>
        <v>4.5819014891179842E-3</v>
      </c>
    </row>
    <row r="11" spans="1:11" x14ac:dyDescent="0.25">
      <c r="A11" s="20" t="s">
        <v>85</v>
      </c>
      <c r="B11" s="17"/>
      <c r="C11" s="17">
        <v>422</v>
      </c>
      <c r="D11" s="17">
        <v>79</v>
      </c>
      <c r="E11" s="17">
        <v>1010</v>
      </c>
      <c r="F11" s="17">
        <v>626</v>
      </c>
      <c r="G11" s="18">
        <f>SUM(Tabela3[[#This Row],[2022]:[2025]])</f>
        <v>2137</v>
      </c>
      <c r="H11">
        <f>COUNTIF(awarie!H:H,Tabela3[[#This Row],[Model urządzenia M]])</f>
        <v>18</v>
      </c>
      <c r="I11" s="25">
        <f>Tabela3[[#This Row],[Ilość awarii]]/Tabela3[[#This Row],[W rynku]]</f>
        <v>8.4230229293401973E-3</v>
      </c>
    </row>
    <row r="12" spans="1:11" x14ac:dyDescent="0.25">
      <c r="A12" s="20" t="s">
        <v>94</v>
      </c>
      <c r="B12" s="17"/>
      <c r="C12" s="17">
        <v>171</v>
      </c>
      <c r="D12" s="17">
        <v>60</v>
      </c>
      <c r="E12" s="17">
        <v>219</v>
      </c>
      <c r="F12" s="17">
        <v>163</v>
      </c>
      <c r="G12" s="18">
        <f>SUM(Tabela3[[#This Row],[2022]:[2025]])</f>
        <v>613</v>
      </c>
      <c r="H12">
        <f>COUNTIF(awarie!H:H,Tabela3[[#This Row],[Model urządzenia M]])</f>
        <v>7</v>
      </c>
      <c r="I12" s="25">
        <f>Tabela3[[#This Row],[Ilość awarii]]/Tabela3[[#This Row],[W rynku]]</f>
        <v>1.1419249592169658E-2</v>
      </c>
    </row>
    <row r="13" spans="1:11" x14ac:dyDescent="0.25">
      <c r="A13" s="20" t="s">
        <v>535</v>
      </c>
      <c r="B13" s="17"/>
      <c r="C13" s="17">
        <v>42</v>
      </c>
      <c r="D13" s="17">
        <v>10</v>
      </c>
      <c r="E13" s="17">
        <v>66</v>
      </c>
      <c r="F13" s="17">
        <v>67</v>
      </c>
      <c r="G13" s="18">
        <f>SUM(Tabela3[[#This Row],[2022]:[2025]])</f>
        <v>185</v>
      </c>
      <c r="H13">
        <f>COUNTIF(awarie!H:H,Tabela3[[#This Row],[Model urządzenia M]])</f>
        <v>0</v>
      </c>
      <c r="I13" s="25">
        <f>Tabela3[[#This Row],[Ilość awarii]]/Tabela3[[#This Row],[W rynku]]</f>
        <v>0</v>
      </c>
    </row>
    <row r="14" spans="1:11" x14ac:dyDescent="0.25">
      <c r="A14" s="21" t="s">
        <v>536</v>
      </c>
      <c r="B14" s="18">
        <f>SUBTOTAL(109,B2:B13)</f>
        <v>5548</v>
      </c>
      <c r="C14" s="18">
        <f t="shared" ref="C14:D14" si="0">SUBTOTAL(109,C2:C13)</f>
        <v>6919</v>
      </c>
      <c r="D14" s="18">
        <f t="shared" si="0"/>
        <v>1217</v>
      </c>
      <c r="E14" s="18">
        <f t="shared" ref="E14" si="1">SUBTOTAL(109,E2:E13)</f>
        <v>3203</v>
      </c>
      <c r="F14" s="18">
        <f t="shared" ref="F14" si="2">SUBTOTAL(109,F2:F13)</f>
        <v>1334</v>
      </c>
      <c r="G14" s="18">
        <f>SUM(Tabela3[[#This Row],[2022]:[2025]])</f>
        <v>18221</v>
      </c>
      <c r="H14" s="24">
        <f>SUBTOTAL(109,H2:H13)</f>
        <v>95</v>
      </c>
      <c r="I14" s="26">
        <f>Tabela3[[#This Row],[Ilość awarii]]/Tabela3[[#This Row],[W rynku]]</f>
        <v>5.2137643378519288E-3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9D6B-2070-4D88-9904-39EF980A5427}">
  <dimension ref="A1:Z28"/>
  <sheetViews>
    <sheetView tabSelected="1" topLeftCell="M1" workbookViewId="0">
      <selection activeCell="AD1" sqref="AD1"/>
    </sheetView>
  </sheetViews>
  <sheetFormatPr defaultColWidth="9.140625" defaultRowHeight="15" x14ac:dyDescent="0.25"/>
  <cols>
    <col min="1" max="1" width="13.7109375" bestFit="1" customWidth="1"/>
    <col min="2" max="2" width="17.28515625" customWidth="1"/>
    <col min="3" max="3" width="20.85546875" customWidth="1"/>
    <col min="4" max="4" width="17.85546875" customWidth="1"/>
    <col min="5" max="5" width="25.28515625" customWidth="1"/>
    <col min="6" max="6" width="13.42578125" customWidth="1"/>
    <col min="7" max="7" width="16.85546875" customWidth="1"/>
    <col min="8" max="8" width="31.28515625" customWidth="1"/>
    <col min="9" max="9" width="20.7109375" customWidth="1"/>
    <col min="10" max="10" width="23.85546875" customWidth="1"/>
    <col min="11" max="11" width="24.42578125" customWidth="1"/>
    <col min="12" max="12" width="24" customWidth="1"/>
    <col min="13" max="13" width="22.5703125" bestFit="1" customWidth="1"/>
    <col min="14" max="14" width="17.7109375" bestFit="1" customWidth="1"/>
    <col min="15" max="15" width="24.28515625" bestFit="1" customWidth="1"/>
    <col min="16" max="16" width="22.5703125" customWidth="1"/>
    <col min="17" max="17" width="11.42578125" style="5" customWidth="1"/>
    <col min="18" max="18" width="13.28515625" style="5" customWidth="1"/>
    <col min="19" max="19" width="6.5703125" style="5" bestFit="1" customWidth="1"/>
    <col min="20" max="20" width="10.140625" style="5" customWidth="1"/>
    <col min="21" max="21" width="6.7109375" style="5" bestFit="1" customWidth="1"/>
    <col min="22" max="22" width="10.5703125" style="5" customWidth="1"/>
    <col min="25" max="25" width="25.140625" customWidth="1"/>
    <col min="26" max="26" width="17.85546875" customWidth="1"/>
  </cols>
  <sheetData>
    <row r="1" spans="1:26" ht="60" customHeight="1" x14ac:dyDescent="0.25">
      <c r="A1" s="27" t="s">
        <v>537</v>
      </c>
      <c r="B1" s="27" t="s">
        <v>5</v>
      </c>
      <c r="C1" s="27" t="s">
        <v>26</v>
      </c>
      <c r="D1" s="28" t="s">
        <v>29</v>
      </c>
      <c r="E1" s="27" t="s">
        <v>30</v>
      </c>
      <c r="F1" s="27" t="s">
        <v>31</v>
      </c>
      <c r="G1" s="27" t="s">
        <v>32</v>
      </c>
      <c r="H1" s="27" t="s">
        <v>33</v>
      </c>
      <c r="I1" s="27" t="s">
        <v>8</v>
      </c>
      <c r="J1" s="27" t="s">
        <v>11</v>
      </c>
      <c r="K1" s="27" t="s">
        <v>14</v>
      </c>
      <c r="L1" s="27" t="s">
        <v>15</v>
      </c>
      <c r="M1" s="27" t="s">
        <v>16</v>
      </c>
      <c r="N1" s="27" t="s">
        <v>19</v>
      </c>
      <c r="O1" s="27" t="s">
        <v>20</v>
      </c>
      <c r="P1" s="28" t="s">
        <v>538</v>
      </c>
      <c r="Q1" s="28" t="s">
        <v>539</v>
      </c>
      <c r="R1" s="28" t="s">
        <v>540</v>
      </c>
      <c r="S1" s="28" t="s">
        <v>541</v>
      </c>
      <c r="T1" s="28" t="s">
        <v>542</v>
      </c>
      <c r="U1" s="28" t="s">
        <v>543</v>
      </c>
      <c r="V1" s="28" t="s">
        <v>544</v>
      </c>
      <c r="W1" s="27" t="s">
        <v>545</v>
      </c>
      <c r="X1" s="27" t="s">
        <v>546</v>
      </c>
      <c r="Y1" s="27" t="s">
        <v>547</v>
      </c>
      <c r="Z1" s="27" t="s">
        <v>548</v>
      </c>
    </row>
    <row r="2" spans="1:26" x14ac:dyDescent="0.25">
      <c r="A2" s="30">
        <v>1</v>
      </c>
      <c r="B2" s="31">
        <v>45492</v>
      </c>
      <c r="C2" s="31">
        <v>45482</v>
      </c>
      <c r="D2" s="87">
        <v>0.46</v>
      </c>
      <c r="E2" s="32" t="s">
        <v>313</v>
      </c>
      <c r="F2" s="32" t="s">
        <v>314</v>
      </c>
      <c r="G2" s="32" t="s">
        <v>315</v>
      </c>
      <c r="H2" s="32" t="s">
        <v>316</v>
      </c>
      <c r="I2" s="32" t="s">
        <v>40</v>
      </c>
      <c r="J2" s="32" t="s">
        <v>317</v>
      </c>
      <c r="K2" s="32" t="s">
        <v>42</v>
      </c>
      <c r="L2" s="32" t="s">
        <v>43</v>
      </c>
      <c r="M2" s="99" t="s">
        <v>141</v>
      </c>
      <c r="N2" s="32" t="s">
        <v>45</v>
      </c>
      <c r="O2" s="32" t="s">
        <v>142</v>
      </c>
      <c r="P2" s="33">
        <f>(Tabela4[[#This Row],[Nr porządkowy]]-0.3)/($A$12+0.4)</f>
        <v>6.1403508771929821E-2</v>
      </c>
      <c r="Q2" s="74">
        <f>LN(Tabela4[[#This Row],[Czas do awarii Ti]])</f>
        <v>-0.77652878949899629</v>
      </c>
      <c r="R2" s="74">
        <f>LN(-LN(1-Tabela4[[#This Row],[Empiryczne prawdopodobieństwo awarii (Fi)]]))</f>
        <v>-2.7587708079393853</v>
      </c>
      <c r="S2">
        <v>0.86</v>
      </c>
      <c r="T2" cm="1">
        <f t="array" ref="T2">ROUND(SLOPE(_xlfn._xlws.FILTER(Tabela4[Y],$O$2:$O$26=Tabela4[[#This Row],[Base GroupB Cn]]),_xlfn._xlws.FILTER(Tabela4[X],$O$2:$O$26=Tabela4[[#This Row],[Base GroupB Cn]])),4)</f>
        <v>0.91690000000000005</v>
      </c>
      <c r="U2">
        <v>-2.0529999999999999</v>
      </c>
      <c r="V2" cm="1">
        <f t="array" ref="V2">ROUND(INTERCEPT(_xlfn._xlws.FILTER(Tabela4[Y],$O$2:$O$26=Tabela4[[#This Row],[Base GroupB Cn]]),_xlfn._xlws.FILTER(Tabela4[X],$O$2:$O$26=Tabela4[[#This Row],[Base GroupB Cn]])),4)</f>
        <v>-2.1821000000000002</v>
      </c>
      <c r="W2">
        <f>Tabela4[[#This Row],[a]]</f>
        <v>0.86</v>
      </c>
      <c r="X2" s="79">
        <f>EXP((-Tabela4[[#This Row],[b]])/Tabela4[[#This Row],[a]])</f>
        <v>10.883080138480715</v>
      </c>
      <c r="Y2" s="5">
        <f>1-EXP(-(('dane źródłowe'!$C$9/Tabela4[[#This Row],[η]])^Tabela4[[#This Row],[ß]]))</f>
        <v>0.40087215511001961</v>
      </c>
      <c r="Z2" s="5">
        <f>Tabela4[[#This Row],[Prawdopodobieństwo wystąpienia awarii F(t)]]*Tabela3[[#This Row],[W rynku]]*(11/Tabela3[[#This Row],[W rynku]])</f>
        <v>4.4095937062102157</v>
      </c>
    </row>
    <row r="3" spans="1:26" x14ac:dyDescent="0.25">
      <c r="A3" s="30">
        <v>2</v>
      </c>
      <c r="B3" s="34">
        <v>45684</v>
      </c>
      <c r="C3" s="34">
        <v>45625</v>
      </c>
      <c r="D3" s="88">
        <v>1.9382391590013099</v>
      </c>
      <c r="E3" s="35" t="s">
        <v>320</v>
      </c>
      <c r="F3" s="35" t="s">
        <v>37</v>
      </c>
      <c r="G3" s="35" t="s">
        <v>321</v>
      </c>
      <c r="H3" s="35" t="s">
        <v>322</v>
      </c>
      <c r="I3" s="35" t="s">
        <v>40</v>
      </c>
      <c r="J3" s="35" t="s">
        <v>323</v>
      </c>
      <c r="K3" s="35" t="s">
        <v>42</v>
      </c>
      <c r="L3" s="35" t="s">
        <v>43</v>
      </c>
      <c r="M3" s="104" t="s">
        <v>165</v>
      </c>
      <c r="N3" s="35" t="s">
        <v>45</v>
      </c>
      <c r="O3" s="35" t="s">
        <v>142</v>
      </c>
      <c r="P3" s="33">
        <f>(Tabela4[[#This Row],[Nr porządkowy]]-0.3)/($A$12+0.4)</f>
        <v>0.14912280701754385</v>
      </c>
      <c r="Q3" s="74">
        <f>LN(Tabela4[[#This Row],[Czas do awarii Ti]])</f>
        <v>0.66177991091223221</v>
      </c>
      <c r="R3" s="74">
        <f>LN(-LN(1-Tabela4[[#This Row],[Empiryczne prawdopodobieństwo awarii (Fi)]]))</f>
        <v>-1.8233277251429048</v>
      </c>
      <c r="S3">
        <v>0.86</v>
      </c>
      <c r="T3" cm="1">
        <f t="array" ref="T3">ROUND(SLOPE(_xlfn._xlws.FILTER(Tabela4[Y],$O$2:$O$26=Tabela4[[#This Row],[Base GroupB Cn]]),_xlfn._xlws.FILTER(Tabela4[X],$O$2:$O$26=Tabela4[[#This Row],[Base GroupB Cn]])),4)</f>
        <v>0.91690000000000005</v>
      </c>
      <c r="U3">
        <v>-2.0529999999999999</v>
      </c>
      <c r="V3" cm="1">
        <f t="array" ref="V3">ROUND(INTERCEPT(_xlfn._xlws.FILTER(Tabela4[Y],$O$2:$O$26=Tabela4[[#This Row],[Base GroupB Cn]]),_xlfn._xlws.FILTER(Tabela4[X],$O$2:$O$26=Tabela4[[#This Row],[Base GroupB Cn]])),4)</f>
        <v>-2.1821000000000002</v>
      </c>
      <c r="W3">
        <f>Tabela4[[#This Row],[a]]</f>
        <v>0.86</v>
      </c>
      <c r="X3" s="79">
        <f>EXP(-Tabela4[[#This Row],[b]]/Tabela4[[#This Row],[a]])</f>
        <v>10.883080138480715</v>
      </c>
      <c r="Y3" s="5">
        <f>1-EXP(-(('dane źródłowe'!$C$9/Tabela4[[#This Row],[η]])^Tabela4[[#This Row],[ß]]))</f>
        <v>0.40087215511001961</v>
      </c>
    </row>
    <row r="4" spans="1:26" x14ac:dyDescent="0.25">
      <c r="A4" s="30">
        <v>3</v>
      </c>
      <c r="B4" s="34">
        <v>45169</v>
      </c>
      <c r="C4" s="34">
        <v>45107</v>
      </c>
      <c r="D4" s="88">
        <v>2.03679369250986</v>
      </c>
      <c r="E4" s="35" t="s">
        <v>223</v>
      </c>
      <c r="F4" s="36" t="s">
        <v>48</v>
      </c>
      <c r="G4" s="36" t="s">
        <v>224</v>
      </c>
      <c r="H4" s="36" t="s">
        <v>225</v>
      </c>
      <c r="I4" s="35" t="s">
        <v>40</v>
      </c>
      <c r="J4" s="35" t="s">
        <v>226</v>
      </c>
      <c r="K4" s="35" t="s">
        <v>42</v>
      </c>
      <c r="L4" s="35" t="s">
        <v>43</v>
      </c>
      <c r="M4" s="103" t="s">
        <v>165</v>
      </c>
      <c r="N4" s="35" t="s">
        <v>45</v>
      </c>
      <c r="O4" s="35" t="s">
        <v>142</v>
      </c>
      <c r="P4" s="33">
        <f>(Tabela4[[#This Row],[Nr porządkowy]]-0.3)/($A$12+0.4)</f>
        <v>0.23684210526315791</v>
      </c>
      <c r="Q4" s="74">
        <f>LN(Tabela4[[#This Row],[Czas do awarii Ti]])</f>
        <v>0.71137685205160872</v>
      </c>
      <c r="R4" s="74">
        <f>LN(-LN(1-Tabela4[[#This Row],[Empiryczne prawdopodobieństwo awarii (Fi)]]))</f>
        <v>-1.3082586023666756</v>
      </c>
      <c r="S4">
        <v>0.86</v>
      </c>
      <c r="T4" cm="1">
        <f t="array" ref="T4">ROUND(SLOPE(_xlfn._xlws.FILTER(Tabela4[Y],$O$2:$O$26=Tabela4[[#This Row],[Base GroupB Cn]]),_xlfn._xlws.FILTER(Tabela4[X],$O$2:$O$26=Tabela4[[#This Row],[Base GroupB Cn]])),4)</f>
        <v>0.91690000000000005</v>
      </c>
      <c r="U4">
        <v>-2.0529999999999999</v>
      </c>
      <c r="V4" cm="1">
        <f t="array" ref="V4">ROUND(INTERCEPT(_xlfn._xlws.FILTER(Tabela4[Y],$O$2:$O$26=Tabela4[[#This Row],[Base GroupB Cn]]),_xlfn._xlws.FILTER(Tabela4[X],$O$2:$O$26=Tabela4[[#This Row],[Base GroupB Cn]])),4)</f>
        <v>-2.1821000000000002</v>
      </c>
      <c r="W4">
        <f>Tabela4[[#This Row],[a]]</f>
        <v>0.86</v>
      </c>
      <c r="X4" s="79">
        <f>EXP(-Tabela4[[#This Row],[b]]/Tabela4[[#This Row],[a]])</f>
        <v>10.883080138480715</v>
      </c>
      <c r="Y4" s="5">
        <f>1-EXP(-(('dane źródłowe'!$C$9/Tabela4[[#This Row],[η]])^Tabela4[[#This Row],[ß]]))</f>
        <v>0.40087215511001961</v>
      </c>
    </row>
    <row r="5" spans="1:26" x14ac:dyDescent="0.25">
      <c r="A5" s="30">
        <v>4</v>
      </c>
      <c r="B5" s="31">
        <v>45260</v>
      </c>
      <c r="C5" s="31">
        <v>45118</v>
      </c>
      <c r="D5" s="87">
        <v>4.6649145860709602</v>
      </c>
      <c r="E5" s="32" t="s">
        <v>259</v>
      </c>
      <c r="F5" s="37" t="s">
        <v>260</v>
      </c>
      <c r="G5" s="37" t="s">
        <v>261</v>
      </c>
      <c r="H5" s="37" t="s">
        <v>262</v>
      </c>
      <c r="I5" s="32" t="s">
        <v>40</v>
      </c>
      <c r="J5" s="32" t="s">
        <v>263</v>
      </c>
      <c r="K5" s="32" t="s">
        <v>42</v>
      </c>
      <c r="L5" s="32" t="s">
        <v>43</v>
      </c>
      <c r="M5" s="106" t="s">
        <v>141</v>
      </c>
      <c r="N5" s="32" t="s">
        <v>45</v>
      </c>
      <c r="O5" s="32" t="s">
        <v>142</v>
      </c>
      <c r="P5" s="33">
        <f>(Tabela4[[#This Row],[Nr porządkowy]]-0.3)/($A$12+0.4)</f>
        <v>0.32456140350877194</v>
      </c>
      <c r="Q5" s="74">
        <f>LN(Tabela4[[#This Row],[Czas do awarii Ti]])</f>
        <v>1.5400695246077758</v>
      </c>
      <c r="R5" s="74">
        <f>LN(-LN(1-Tabela4[[#This Row],[Empiryczne prawdopodobieństwo awarii (Fi)]]))</f>
        <v>-0.9354913227515631</v>
      </c>
      <c r="S5">
        <v>0.86</v>
      </c>
      <c r="T5" cm="1">
        <f t="array" ref="T5">ROUND(SLOPE(_xlfn._xlws.FILTER(Tabela4[Y],$O$2:$O$26=Tabela4[[#This Row],[Base GroupB Cn]]),_xlfn._xlws.FILTER(Tabela4[X],$O$2:$O$26=Tabela4[[#This Row],[Base GroupB Cn]])),4)</f>
        <v>0.91690000000000005</v>
      </c>
      <c r="U5">
        <v>-2.0529999999999999</v>
      </c>
      <c r="V5" cm="1">
        <f t="array" ref="V5">ROUND(INTERCEPT(_xlfn._xlws.FILTER(Tabela4[Y],$O$2:$O$26=Tabela4[[#This Row],[Base GroupB Cn]]),_xlfn._xlws.FILTER(Tabela4[X],$O$2:$O$26=Tabela4[[#This Row],[Base GroupB Cn]])),4)</f>
        <v>-2.1821000000000002</v>
      </c>
      <c r="W5">
        <f>Tabela4[[#This Row],[a]]</f>
        <v>0.86</v>
      </c>
      <c r="X5" s="79">
        <f>EXP(-Tabela4[[#This Row],[b]]/Tabela4[[#This Row],[a]])</f>
        <v>10.883080138480715</v>
      </c>
      <c r="Y5" s="5">
        <f>1-EXP(-(('dane źródłowe'!$C$9/Tabela4[[#This Row],[η]])^Tabela4[[#This Row],[ß]]))</f>
        <v>0.40087215511001961</v>
      </c>
    </row>
    <row r="6" spans="1:26" x14ac:dyDescent="0.25">
      <c r="A6" s="30">
        <v>5</v>
      </c>
      <c r="B6" s="34">
        <v>45421</v>
      </c>
      <c r="C6" s="34">
        <v>45230</v>
      </c>
      <c r="D6" s="88">
        <v>6.2746386333771396</v>
      </c>
      <c r="E6" s="35" t="s">
        <v>283</v>
      </c>
      <c r="F6" s="35" t="s">
        <v>284</v>
      </c>
      <c r="G6" s="35" t="s">
        <v>285</v>
      </c>
      <c r="H6" s="35" t="s">
        <v>286</v>
      </c>
      <c r="I6" s="35" t="s">
        <v>40</v>
      </c>
      <c r="J6" s="35" t="s">
        <v>287</v>
      </c>
      <c r="K6" s="35" t="s">
        <v>42</v>
      </c>
      <c r="L6" s="35" t="s">
        <v>43</v>
      </c>
      <c r="M6" s="35" t="s">
        <v>288</v>
      </c>
      <c r="N6" s="35" t="s">
        <v>45</v>
      </c>
      <c r="O6" s="35" t="s">
        <v>142</v>
      </c>
      <c r="P6" s="33">
        <f>(Tabela4[[#This Row],[Nr porządkowy]]-0.3)/($A$12+0.4)</f>
        <v>0.41228070175438597</v>
      </c>
      <c r="Q6" s="74">
        <f>LN(Tabela4[[#This Row],[Czas do awarii Ti]])</f>
        <v>1.8365158950531455</v>
      </c>
      <c r="R6" s="74">
        <f>LN(-LN(1-Tabela4[[#This Row],[Empiryczne prawdopodobieństwo awarii (Fi)]]))</f>
        <v>-0.63204111417931419</v>
      </c>
      <c r="S6">
        <v>0.86</v>
      </c>
      <c r="T6" cm="1">
        <f t="array" ref="T6">ROUND(SLOPE(_xlfn._xlws.FILTER(Tabela4[Y],$O$2:$O$26=Tabela4[[#This Row],[Base GroupB Cn]]),_xlfn._xlws.FILTER(Tabela4[X],$O$2:$O$26=Tabela4[[#This Row],[Base GroupB Cn]])),4)</f>
        <v>0.91690000000000005</v>
      </c>
      <c r="U6">
        <v>-2.0529999999999999</v>
      </c>
      <c r="V6" cm="1">
        <f t="array" ref="V6">ROUND(INTERCEPT(_xlfn._xlws.FILTER(Tabela4[Y],$O$2:$O$26=Tabela4[[#This Row],[Base GroupB Cn]]),_xlfn._xlws.FILTER(Tabela4[X],$O$2:$O$26=Tabela4[[#This Row],[Base GroupB Cn]])),4)</f>
        <v>-2.1821000000000002</v>
      </c>
      <c r="W6">
        <f>Tabela4[[#This Row],[a]]</f>
        <v>0.86</v>
      </c>
      <c r="X6" s="79">
        <f>EXP(-Tabela4[[#This Row],[b]]/Tabela4[[#This Row],[a]])</f>
        <v>10.883080138480715</v>
      </c>
      <c r="Y6" s="5">
        <f>1-EXP(-(('dane źródłowe'!$C$9/Tabela4[[#This Row],[η]])^Tabela4[[#This Row],[ß]]))</f>
        <v>0.40087215511001961</v>
      </c>
    </row>
    <row r="7" spans="1:26" x14ac:dyDescent="0.25">
      <c r="A7" s="30">
        <v>6</v>
      </c>
      <c r="B7" s="34">
        <v>45219</v>
      </c>
      <c r="C7" s="34">
        <v>45015</v>
      </c>
      <c r="D7" s="88">
        <v>6.7017082785808144</v>
      </c>
      <c r="E7" s="35" t="s">
        <v>182</v>
      </c>
      <c r="F7" s="36" t="s">
        <v>183</v>
      </c>
      <c r="G7" s="36" t="s">
        <v>184</v>
      </c>
      <c r="H7" s="36" t="s">
        <v>185</v>
      </c>
      <c r="I7" s="35" t="s">
        <v>40</v>
      </c>
      <c r="J7" s="35" t="s">
        <v>186</v>
      </c>
      <c r="K7" s="35" t="s">
        <v>42</v>
      </c>
      <c r="L7" s="35" t="s">
        <v>43</v>
      </c>
      <c r="M7" s="103" t="s">
        <v>165</v>
      </c>
      <c r="N7" s="35" t="s">
        <v>45</v>
      </c>
      <c r="O7" s="35" t="s">
        <v>142</v>
      </c>
      <c r="P7" s="33">
        <f>(Tabela4[[#This Row],[Nr porządkowy]]-0.3)/($A$12+0.4)</f>
        <v>0.5</v>
      </c>
      <c r="Q7" s="74">
        <f>LN(Tabela4[[#This Row],[Czas do awarii Ti]])</f>
        <v>1.9023624608507312</v>
      </c>
      <c r="R7" s="74">
        <f>LN(-LN(1-Tabela4[[#This Row],[Empiryczne prawdopodobieństwo awarii (Fi)]]))</f>
        <v>-0.36651292058166435</v>
      </c>
      <c r="S7">
        <v>0.86</v>
      </c>
      <c r="T7" cm="1">
        <f t="array" ref="T7">ROUND(SLOPE(_xlfn._xlws.FILTER(Tabela4[Y],$O$2:$O$26=Tabela4[[#This Row],[Base GroupB Cn]]),_xlfn._xlws.FILTER(Tabela4[X],$O$2:$O$26=Tabela4[[#This Row],[Base GroupB Cn]])),4)</f>
        <v>0.91690000000000005</v>
      </c>
      <c r="U7">
        <v>-2.0529999999999999</v>
      </c>
      <c r="V7" cm="1">
        <f t="array" ref="V7">ROUND(INTERCEPT(_xlfn._xlws.FILTER(Tabela4[Y],$O$2:$O$26=Tabela4[[#This Row],[Base GroupB Cn]]),_xlfn._xlws.FILTER(Tabela4[X],$O$2:$O$26=Tabela4[[#This Row],[Base GroupB Cn]])),4)</f>
        <v>-2.1821000000000002</v>
      </c>
      <c r="W7">
        <f>Tabela4[[#This Row],[a]]</f>
        <v>0.86</v>
      </c>
      <c r="X7" s="79">
        <f>EXP(-Tabela4[[#This Row],[b]]/Tabela4[[#This Row],[a]])</f>
        <v>10.883080138480715</v>
      </c>
      <c r="Y7" s="5">
        <f>1-EXP(-(('dane źródłowe'!$C$9/Tabela4[[#This Row],[η]])^Tabela4[[#This Row],[ß]]))</f>
        <v>0.40087215511001961</v>
      </c>
    </row>
    <row r="8" spans="1:26" x14ac:dyDescent="0.25">
      <c r="A8" s="30">
        <v>7</v>
      </c>
      <c r="B8" s="31">
        <v>45518</v>
      </c>
      <c r="C8" s="31">
        <v>45135</v>
      </c>
      <c r="D8" s="87">
        <v>12.582128777923783</v>
      </c>
      <c r="E8" s="32" t="s">
        <v>269</v>
      </c>
      <c r="F8" s="32" t="s">
        <v>270</v>
      </c>
      <c r="G8" s="32" t="s">
        <v>271</v>
      </c>
      <c r="H8" s="32" t="s">
        <v>272</v>
      </c>
      <c r="I8" s="32" t="s">
        <v>40</v>
      </c>
      <c r="J8" s="32" t="s">
        <v>273</v>
      </c>
      <c r="K8" s="32" t="s">
        <v>42</v>
      </c>
      <c r="L8" s="32" t="s">
        <v>43</v>
      </c>
      <c r="M8" s="105" t="s">
        <v>165</v>
      </c>
      <c r="N8" s="32" t="s">
        <v>45</v>
      </c>
      <c r="O8" s="32" t="s">
        <v>142</v>
      </c>
      <c r="P8" s="33">
        <f>(Tabela4[[#This Row],[Nr porządkowy]]-0.3)/($A$12+0.4)</f>
        <v>0.58771929824561409</v>
      </c>
      <c r="Q8" s="74">
        <f>LN(Tabela4[[#This Row],[Czas do awarii Ti]])</f>
        <v>2.5322774561871606</v>
      </c>
      <c r="R8" s="74">
        <f>LN(-LN(1-Tabela4[[#This Row],[Empiryczne prawdopodobieństwo awarii (Fi)]]))</f>
        <v>-0.12098094098939045</v>
      </c>
      <c r="S8">
        <v>0.86</v>
      </c>
      <c r="T8" cm="1">
        <f t="array" ref="T8">ROUND(SLOPE(_xlfn._xlws.FILTER(Tabela4[Y],$O$2:$O$26=Tabela4[[#This Row],[Base GroupB Cn]]),_xlfn._xlws.FILTER(Tabela4[X],$O$2:$O$26=Tabela4[[#This Row],[Base GroupB Cn]])),4)</f>
        <v>0.91690000000000005</v>
      </c>
      <c r="U8">
        <v>-2.0529999999999999</v>
      </c>
      <c r="V8" cm="1">
        <f t="array" ref="V8">ROUND(INTERCEPT(_xlfn._xlws.FILTER(Tabela4[Y],$O$2:$O$26=Tabela4[[#This Row],[Base GroupB Cn]]),_xlfn._xlws.FILTER(Tabela4[X],$O$2:$O$26=Tabela4[[#This Row],[Base GroupB Cn]])),4)</f>
        <v>-2.1821000000000002</v>
      </c>
      <c r="W8">
        <f>Tabela4[[#This Row],[a]]</f>
        <v>0.86</v>
      </c>
      <c r="X8" s="79">
        <f>EXP(-Tabela4[[#This Row],[b]]/Tabela4[[#This Row],[a]])</f>
        <v>10.883080138480715</v>
      </c>
      <c r="Y8" s="5">
        <f>1-EXP(-(('dane źródłowe'!$C$9/Tabela4[[#This Row],[η]])^Tabela4[[#This Row],[ß]]))</f>
        <v>0.40087215511001961</v>
      </c>
    </row>
    <row r="9" spans="1:26" x14ac:dyDescent="0.25">
      <c r="A9" s="30">
        <v>8</v>
      </c>
      <c r="B9" s="31">
        <v>45138</v>
      </c>
      <c r="C9" s="31">
        <v>44742</v>
      </c>
      <c r="D9" s="87">
        <v>13.009198423127463</v>
      </c>
      <c r="E9" s="32" t="s">
        <v>160</v>
      </c>
      <c r="F9" s="37" t="s">
        <v>161</v>
      </c>
      <c r="G9" s="37" t="s">
        <v>162</v>
      </c>
      <c r="H9" s="37" t="s">
        <v>163</v>
      </c>
      <c r="I9" s="32" t="s">
        <v>40</v>
      </c>
      <c r="J9" s="32" t="s">
        <v>164</v>
      </c>
      <c r="K9" s="32" t="s">
        <v>42</v>
      </c>
      <c r="L9" s="32" t="s">
        <v>43</v>
      </c>
      <c r="M9" s="102" t="s">
        <v>165</v>
      </c>
      <c r="N9" s="32" t="s">
        <v>45</v>
      </c>
      <c r="O9" s="32" t="s">
        <v>142</v>
      </c>
      <c r="P9" s="33">
        <f>(Tabela4[[#This Row],[Nr porządkowy]]-0.3)/($A$12+0.4)</f>
        <v>0.67543859649122806</v>
      </c>
      <c r="Q9" s="74">
        <f>LN(Tabela4[[#This Row],[Czas do awarii Ti]])</f>
        <v>2.5656566782609955</v>
      </c>
      <c r="R9" s="74">
        <f>LN(-LN(1-Tabela4[[#This Row],[Empiryczne prawdopodobieństwo awarii (Fi)]]))</f>
        <v>0.11803236968142394</v>
      </c>
      <c r="S9">
        <v>0.86</v>
      </c>
      <c r="T9" cm="1">
        <f t="array" ref="T9">ROUND(SLOPE(_xlfn._xlws.FILTER(Tabela4[Y],$O$2:$O$26=Tabela4[[#This Row],[Base GroupB Cn]]),_xlfn._xlws.FILTER(Tabela4[X],$O$2:$O$26=Tabela4[[#This Row],[Base GroupB Cn]])),4)</f>
        <v>0.91690000000000005</v>
      </c>
      <c r="U9">
        <v>-2.0529999999999999</v>
      </c>
      <c r="V9" cm="1">
        <f t="array" ref="V9">ROUND(INTERCEPT(_xlfn._xlws.FILTER(Tabela4[Y],$O$2:$O$26=Tabela4[[#This Row],[Base GroupB Cn]]),_xlfn._xlws.FILTER(Tabela4[X],$O$2:$O$26=Tabela4[[#This Row],[Base GroupB Cn]])),4)</f>
        <v>-2.1821000000000002</v>
      </c>
      <c r="W9">
        <f>Tabela4[[#This Row],[a]]</f>
        <v>0.86</v>
      </c>
      <c r="X9" s="79">
        <f>EXP(-Tabela4[[#This Row],[b]]/Tabela4[[#This Row],[a]])</f>
        <v>10.883080138480715</v>
      </c>
      <c r="Y9" s="5">
        <f>1-EXP(-(('dane źródłowe'!$C$9/Tabela4[[#This Row],[η]])^Tabela4[[#This Row],[ß]]))</f>
        <v>0.40087215511001961</v>
      </c>
    </row>
    <row r="10" spans="1:26" x14ac:dyDescent="0.25">
      <c r="A10" s="30">
        <v>9</v>
      </c>
      <c r="B10" s="34">
        <v>45089</v>
      </c>
      <c r="C10" s="34">
        <v>44691</v>
      </c>
      <c r="D10" s="88">
        <v>13.074901445466491</v>
      </c>
      <c r="E10" s="35" t="s">
        <v>136</v>
      </c>
      <c r="F10" s="36" t="s">
        <v>137</v>
      </c>
      <c r="G10" s="36" t="s">
        <v>138</v>
      </c>
      <c r="H10" s="36" t="s">
        <v>139</v>
      </c>
      <c r="I10" s="35" t="s">
        <v>40</v>
      </c>
      <c r="J10" s="35" t="s">
        <v>140</v>
      </c>
      <c r="K10" s="35" t="s">
        <v>42</v>
      </c>
      <c r="L10" s="35" t="s">
        <v>43</v>
      </c>
      <c r="M10" s="98" t="s">
        <v>141</v>
      </c>
      <c r="N10" s="35" t="s">
        <v>45</v>
      </c>
      <c r="O10" s="35" t="s">
        <v>142</v>
      </c>
      <c r="P10" s="33">
        <f>(Tabela4[[#This Row],[Nr porządkowy]]-0.3)/($A$12+0.4)</f>
        <v>0.76315789473684204</v>
      </c>
      <c r="Q10" s="74">
        <f>LN(Tabela4[[#This Row],[Czas do awarii Ti]])</f>
        <v>2.5706944722909526</v>
      </c>
      <c r="R10" s="74">
        <f>LN(-LN(1-Tabela4[[#This Row],[Empiryczne prawdopodobieństwo awarii (Fi)]]))</f>
        <v>0.3648941809499211</v>
      </c>
      <c r="S10">
        <v>0.86</v>
      </c>
      <c r="T10" cm="1">
        <f t="array" ref="T10">ROUND(SLOPE(_xlfn._xlws.FILTER(Tabela4[Y],$O$2:$O$26=Tabela4[[#This Row],[Base GroupB Cn]]),_xlfn._xlws.FILTER(Tabela4[X],$O$2:$O$26=Tabela4[[#This Row],[Base GroupB Cn]])),4)</f>
        <v>0.91690000000000005</v>
      </c>
      <c r="U10">
        <v>-2.0529999999999999</v>
      </c>
      <c r="V10" cm="1">
        <f t="array" ref="V10">ROUND(INTERCEPT(_xlfn._xlws.FILTER(Tabela4[Y],$O$2:$O$26=Tabela4[[#This Row],[Base GroupB Cn]]),_xlfn._xlws.FILTER(Tabela4[X],$O$2:$O$26=Tabela4[[#This Row],[Base GroupB Cn]])),4)</f>
        <v>-2.1821000000000002</v>
      </c>
      <c r="W10">
        <f>Tabela4[[#This Row],[a]]</f>
        <v>0.86</v>
      </c>
      <c r="X10" s="79">
        <f>EXP(-Tabela4[[#This Row],[b]]/Tabela4[[#This Row],[a]])</f>
        <v>10.883080138480715</v>
      </c>
      <c r="Y10" s="5">
        <f>1-EXP(-(('dane źródłowe'!$C$9/Tabela4[[#This Row],[η]])^Tabela4[[#This Row],[ß]]))</f>
        <v>0.40087215511001961</v>
      </c>
    </row>
    <row r="11" spans="1:26" x14ac:dyDescent="0.25">
      <c r="A11" s="30">
        <v>10</v>
      </c>
      <c r="B11" s="34">
        <v>45785</v>
      </c>
      <c r="C11" s="34">
        <v>45118</v>
      </c>
      <c r="D11" s="88">
        <v>21.911957950065702</v>
      </c>
      <c r="E11" s="35" t="s">
        <v>264</v>
      </c>
      <c r="F11" s="35" t="s">
        <v>265</v>
      </c>
      <c r="G11" s="35" t="s">
        <v>266</v>
      </c>
      <c r="H11" s="35" t="s">
        <v>267</v>
      </c>
      <c r="I11" s="35" t="s">
        <v>40</v>
      </c>
      <c r="J11" s="35" t="s">
        <v>268</v>
      </c>
      <c r="K11" s="35" t="s">
        <v>42</v>
      </c>
      <c r="L11" s="35" t="s">
        <v>43</v>
      </c>
      <c r="M11" s="100" t="s">
        <v>165</v>
      </c>
      <c r="N11" s="35" t="s">
        <v>45</v>
      </c>
      <c r="O11" s="35" t="s">
        <v>142</v>
      </c>
      <c r="P11" s="33">
        <f>(Tabela4[[#This Row],[Nr porządkowy]]-0.3)/($A$12+0.4)</f>
        <v>0.85087719298245601</v>
      </c>
      <c r="Q11" s="74">
        <f>LN(Tabela4[[#This Row],[Czas do awarii Ti]])</f>
        <v>3.0870325129221388</v>
      </c>
      <c r="R11" s="74">
        <f>LN(-LN(1-Tabela4[[#This Row],[Empiryczne prawdopodobieństwo awarii (Fi)]]))</f>
        <v>0.64342376082057084</v>
      </c>
      <c r="S11">
        <v>0.86</v>
      </c>
      <c r="T11" cm="1">
        <f t="array" ref="T11">ROUND(SLOPE(_xlfn._xlws.FILTER(Tabela4[Y],$O$2:$O$26=Tabela4[[#This Row],[Base GroupB Cn]]),_xlfn._xlws.FILTER(Tabela4[X],$O$2:$O$26=Tabela4[[#This Row],[Base GroupB Cn]])),4)</f>
        <v>0.91690000000000005</v>
      </c>
      <c r="U11">
        <v>-2.0529999999999999</v>
      </c>
      <c r="V11" cm="1">
        <f t="array" ref="V11">ROUND(INTERCEPT(_xlfn._xlws.FILTER(Tabela4[Y],$O$2:$O$26=Tabela4[[#This Row],[Base GroupB Cn]]),_xlfn._xlws.FILTER(Tabela4[X],$O$2:$O$26=Tabela4[[#This Row],[Base GroupB Cn]])),4)</f>
        <v>-2.1821000000000002</v>
      </c>
      <c r="W11">
        <f>Tabela4[[#This Row],[a]]</f>
        <v>0.86</v>
      </c>
      <c r="X11" s="79">
        <f>EXP(-Tabela4[[#This Row],[b]]/Tabela4[[#This Row],[a]])</f>
        <v>10.883080138480715</v>
      </c>
      <c r="Y11" s="5">
        <f>1-EXP(-(('dane źródłowe'!$C$9/Tabela4[[#This Row],[η]])^Tabela4[[#This Row],[ß]]))</f>
        <v>0.40087215511001961</v>
      </c>
    </row>
    <row r="12" spans="1:26" x14ac:dyDescent="0.25">
      <c r="A12" s="30">
        <v>11</v>
      </c>
      <c r="B12" s="31">
        <v>45845</v>
      </c>
      <c r="C12" s="31">
        <v>45076</v>
      </c>
      <c r="D12" s="87">
        <v>25.26281208935611</v>
      </c>
      <c r="E12" s="32" t="s">
        <v>209</v>
      </c>
      <c r="F12" s="32" t="s">
        <v>48</v>
      </c>
      <c r="G12" s="32" t="s">
        <v>210</v>
      </c>
      <c r="H12" s="32" t="s">
        <v>211</v>
      </c>
      <c r="I12" s="32" t="s">
        <v>40</v>
      </c>
      <c r="J12" s="32" t="s">
        <v>212</v>
      </c>
      <c r="K12" s="32" t="s">
        <v>42</v>
      </c>
      <c r="L12" s="32" t="s">
        <v>43</v>
      </c>
      <c r="M12" s="101" t="s">
        <v>165</v>
      </c>
      <c r="N12" s="32" t="s">
        <v>45</v>
      </c>
      <c r="O12" s="32" t="s">
        <v>142</v>
      </c>
      <c r="P12" s="33">
        <f>(Tabela4[[#This Row],[Nr porządkowy]]-0.3)/($A$12+0.4)</f>
        <v>0.9385964912280701</v>
      </c>
      <c r="Q12" s="74">
        <f>LN(Tabela4[[#This Row],[Czas do awarii Ti]])</f>
        <v>3.2293334365121589</v>
      </c>
      <c r="R12" s="74">
        <f>LN(-LN(1-Tabela4[[#This Row],[Empiryczne prawdopodobieństwo awarii (Fi)]]))</f>
        <v>1.0261449235912583</v>
      </c>
      <c r="S12">
        <v>0.86</v>
      </c>
      <c r="T12" cm="1">
        <f t="array" ref="T12">ROUND(SLOPE(_xlfn._xlws.FILTER(Tabela4[Y],$O$2:$O$26=Tabela4[[#This Row],[Base GroupB Cn]]),_xlfn._xlws.FILTER(Tabela4[X],$O$2:$O$26=Tabela4[[#This Row],[Base GroupB Cn]])),4)</f>
        <v>0.91690000000000005</v>
      </c>
      <c r="U12">
        <v>-2.0529999999999999</v>
      </c>
      <c r="V12" cm="1">
        <f t="array" ref="V12">ROUND(INTERCEPT(_xlfn._xlws.FILTER(Tabela4[Y],$O$2:$O$26=Tabela4[[#This Row],[Base GroupB Cn]]),_xlfn._xlws.FILTER(Tabela4[X],$O$2:$O$26=Tabela4[[#This Row],[Base GroupB Cn]])),4)</f>
        <v>-2.1821000000000002</v>
      </c>
      <c r="W12">
        <f>Tabela4[[#This Row],[a]]</f>
        <v>0.86</v>
      </c>
      <c r="X12" s="79">
        <f>EXP(-Tabela4[[#This Row],[b]]/Tabela4[[#This Row],[a]])</f>
        <v>10.883080138480715</v>
      </c>
      <c r="Y12" s="5">
        <f>1-EXP(-(('dane źródłowe'!$C$9/Tabela4[[#This Row],[η]])^Tabela4[[#This Row],[ß]]))</f>
        <v>0.40087215511001961</v>
      </c>
    </row>
    <row r="13" spans="1:26" x14ac:dyDescent="0.25">
      <c r="A13" s="38">
        <v>1</v>
      </c>
      <c r="B13" s="39">
        <v>45741</v>
      </c>
      <c r="C13" s="39">
        <v>45089</v>
      </c>
      <c r="D13" s="89">
        <v>21.419185282522996</v>
      </c>
      <c r="E13" s="40" t="s">
        <v>324</v>
      </c>
      <c r="F13" s="40" t="s">
        <v>260</v>
      </c>
      <c r="G13" s="40" t="s">
        <v>325</v>
      </c>
      <c r="H13" s="40" t="s">
        <v>262</v>
      </c>
      <c r="I13" s="40" t="s">
        <v>40</v>
      </c>
      <c r="J13" s="40" t="s">
        <v>263</v>
      </c>
      <c r="K13" s="40" t="s">
        <v>42</v>
      </c>
      <c r="L13" s="40" t="s">
        <v>43</v>
      </c>
      <c r="M13" s="40" t="s">
        <v>326</v>
      </c>
      <c r="N13" s="40" t="s">
        <v>45</v>
      </c>
      <c r="O13" s="40" t="s">
        <v>327</v>
      </c>
      <c r="P13" s="73">
        <f>(Tabela4[[#This Row],[Nr porządkowy]]-0.3)/($A$13+0.4)</f>
        <v>0.5</v>
      </c>
      <c r="Q13" s="75">
        <f>LN(Tabela4[[#This Row],[Czas do awarii Ti]])</f>
        <v>3.0642870289331681</v>
      </c>
      <c r="R13" s="75">
        <f>LN(-LN(1-Tabela4[[#This Row],[Empiryczne prawdopodobieństwo awarii (Fi)]]))</f>
        <v>-0.36651292058166435</v>
      </c>
      <c r="S13" s="75"/>
      <c r="T13" s="75" t="e" cm="1">
        <f t="array" ref="T13">ROUND(SLOPE(_xlfn._xlws.FILTER(Tabela4[Y],$O$2:$O$26=Tabela4[[#This Row],[Base GroupB Cn]]),_xlfn._xlws.FILTER(Tabela4[X],$O$2:$O$26=Tabela4[[#This Row],[Base GroupB Cn]])),4)</f>
        <v>#DIV/0!</v>
      </c>
      <c r="U13" s="75"/>
      <c r="V13" s="75" t="e" cm="1">
        <f t="array" ref="V13">ROUND(INTERCEPT(_xlfn._xlws.FILTER(Tabela4[Y],$O$2:$O$26=Tabela4[[#This Row],[Base GroupB Cn]]),_xlfn._xlws.FILTER(Tabela4[X],$O$2:$O$26=Tabela4[[#This Row],[Base GroupB Cn]])),4)</f>
        <v>#DIV/0!</v>
      </c>
      <c r="X13" s="79"/>
      <c r="Y13" s="5"/>
    </row>
    <row r="14" spans="1:26" x14ac:dyDescent="0.25">
      <c r="A14" s="41">
        <v>1</v>
      </c>
      <c r="B14" s="42">
        <v>45138</v>
      </c>
      <c r="C14" s="42">
        <v>45117</v>
      </c>
      <c r="D14" s="90">
        <v>0.68988173455978974</v>
      </c>
      <c r="E14" s="43" t="s">
        <v>367</v>
      </c>
      <c r="F14" s="44" t="s">
        <v>368</v>
      </c>
      <c r="G14" s="44" t="s">
        <v>369</v>
      </c>
      <c r="H14" s="44" t="s">
        <v>370</v>
      </c>
      <c r="I14" s="43" t="s">
        <v>40</v>
      </c>
      <c r="J14" s="43" t="s">
        <v>371</v>
      </c>
      <c r="K14" s="43" t="s">
        <v>42</v>
      </c>
      <c r="L14" s="43" t="s">
        <v>43</v>
      </c>
      <c r="M14" s="45" t="s">
        <v>365</v>
      </c>
      <c r="N14" s="43" t="s">
        <v>45</v>
      </c>
      <c r="O14" s="43" t="s">
        <v>340</v>
      </c>
      <c r="P14" s="70">
        <f>(Tabela4[[#This Row],[Nr porządkowy]]-0.3)/($A$20+0.4)</f>
        <v>9.4594594594594586E-2</v>
      </c>
      <c r="Q14" s="76">
        <f>LN(Tabela4[[#This Row],[Czas do awarii Ti]])</f>
        <v>-0.3712350952700621</v>
      </c>
      <c r="R14" s="76">
        <f>LN(-LN(1-Tabela4[[#This Row],[Empiryczne prawdopodobieństwo awarii (Fi)]]))</f>
        <v>-2.3088801270783894</v>
      </c>
      <c r="S14">
        <v>0.79590000000000005</v>
      </c>
      <c r="T14" cm="1">
        <f t="array" ref="T14">ROUND(SLOPE(_xlfn._xlws.FILTER(Tabela4[Y],$O$2:$O$26=Tabela4[[#This Row],[Base GroupB Cn]]),_xlfn._xlws.FILTER(Tabela4[X],$O$2:$O$26=Tabela4[[#This Row],[Base GroupB Cn]])),4)</f>
        <v>0.79590000000000005</v>
      </c>
      <c r="U14">
        <v>-1.6525000000000001</v>
      </c>
      <c r="V14" cm="1">
        <f t="array" ref="V14">ROUND(INTERCEPT(_xlfn._xlws.FILTER(Tabela4[Y],$O$2:$O$26=Tabela4[[#This Row],[Base GroupB Cn]]),_xlfn._xlws.FILTER(Tabela4[X],$O$2:$O$26=Tabela4[[#This Row],[Base GroupB Cn]])),4)</f>
        <v>-1.6525000000000001</v>
      </c>
      <c r="W14">
        <f>Tabela4[[#This Row],[a]]</f>
        <v>0.79590000000000005</v>
      </c>
      <c r="X14" s="79">
        <f>EXP(-Tabela4[[#This Row],[b]]/Tabela4[[#This Row],[a]])</f>
        <v>7.9746348640093805</v>
      </c>
      <c r="Y14" s="5">
        <f>1-EXP(-(('dane źródłowe'!$C$9/Tabela4[[#This Row],[η]])^Tabela4[[#This Row],[ß]]))</f>
        <v>0.4982562004362503</v>
      </c>
      <c r="Z14" s="79">
        <f>Tabela4[[#This Row],[Prawdopodobieństwo wystąpienia awarii F(t)]]*7</f>
        <v>3.4877934030537521</v>
      </c>
    </row>
    <row r="15" spans="1:26" x14ac:dyDescent="0.25">
      <c r="A15" s="41">
        <v>2</v>
      </c>
      <c r="B15" s="46">
        <v>45138</v>
      </c>
      <c r="C15" s="46">
        <v>45096</v>
      </c>
      <c r="D15" s="91">
        <v>1.3797634691195795</v>
      </c>
      <c r="E15" s="47" t="s">
        <v>160</v>
      </c>
      <c r="F15" s="48" t="s">
        <v>161</v>
      </c>
      <c r="G15" s="48" t="s">
        <v>162</v>
      </c>
      <c r="H15" s="48" t="s">
        <v>163</v>
      </c>
      <c r="I15" s="47" t="s">
        <v>40</v>
      </c>
      <c r="J15" s="47" t="s">
        <v>164</v>
      </c>
      <c r="K15" s="47" t="s">
        <v>42</v>
      </c>
      <c r="L15" s="47" t="s">
        <v>43</v>
      </c>
      <c r="M15" s="49" t="s">
        <v>365</v>
      </c>
      <c r="N15" s="47" t="s">
        <v>45</v>
      </c>
      <c r="O15" s="43" t="s">
        <v>340</v>
      </c>
      <c r="P15" s="70">
        <f>(Tabela4[[#This Row],[Nr porządkowy]]-0.3)/($A$20+0.4)</f>
        <v>0.22972972972972971</v>
      </c>
      <c r="Q15" s="76">
        <f>LN(Tabela4[[#This Row],[Czas do awarii Ti]])</f>
        <v>0.32191208528988319</v>
      </c>
      <c r="R15" s="76">
        <f>LN(-LN(1-Tabela4[[#This Row],[Empiryczne prawdopodobieństwo awarii (Fi)]]))</f>
        <v>-1.3431819022975191</v>
      </c>
      <c r="S15">
        <v>0.79590000000000005</v>
      </c>
      <c r="T15" cm="1">
        <f t="array" ref="T15">ROUND(SLOPE(_xlfn._xlws.FILTER(Tabela4[Y],$O$2:$O$26=Tabela4[[#This Row],[Base GroupB Cn]]),_xlfn._xlws.FILTER(Tabela4[X],$O$2:$O$26=Tabela4[[#This Row],[Base GroupB Cn]])),4)</f>
        <v>0.79590000000000005</v>
      </c>
      <c r="U15">
        <v>-1.6525000000000001</v>
      </c>
      <c r="V15" cm="1">
        <f t="array" ref="V15">ROUND(INTERCEPT(_xlfn._xlws.FILTER(Tabela4[Y],$O$2:$O$26=Tabela4[[#This Row],[Base GroupB Cn]]),_xlfn._xlws.FILTER(Tabela4[X],$O$2:$O$26=Tabela4[[#This Row],[Base GroupB Cn]])),4)</f>
        <v>-1.6525000000000001</v>
      </c>
      <c r="W15">
        <f>Tabela4[[#This Row],[a]]</f>
        <v>0.79590000000000005</v>
      </c>
      <c r="X15" s="79">
        <f>EXP(-Tabela4[[#This Row],[b]]/Tabela4[[#This Row],[a]])</f>
        <v>7.9746348640093805</v>
      </c>
      <c r="Y15" s="5">
        <f>1-EXP(-(('dane źródłowe'!$C$9/Tabela4[[#This Row],[η]])^Tabela4[[#This Row],[ß]]))</f>
        <v>0.4982562004362503</v>
      </c>
    </row>
    <row r="16" spans="1:26" x14ac:dyDescent="0.25">
      <c r="A16" s="41">
        <v>3</v>
      </c>
      <c r="B16" s="46">
        <v>45138</v>
      </c>
      <c r="C16" s="46">
        <v>45075</v>
      </c>
      <c r="D16" s="91">
        <v>2.0696452036793693</v>
      </c>
      <c r="E16" s="47" t="s">
        <v>223</v>
      </c>
      <c r="F16" s="48" t="s">
        <v>48</v>
      </c>
      <c r="G16" s="48" t="s">
        <v>345</v>
      </c>
      <c r="H16" s="48" t="s">
        <v>225</v>
      </c>
      <c r="I16" s="47" t="s">
        <v>40</v>
      </c>
      <c r="J16" s="47" t="s">
        <v>226</v>
      </c>
      <c r="K16" s="47" t="s">
        <v>42</v>
      </c>
      <c r="L16" s="47" t="s">
        <v>43</v>
      </c>
      <c r="M16" s="49" t="s">
        <v>346</v>
      </c>
      <c r="N16" s="47" t="s">
        <v>45</v>
      </c>
      <c r="O16" s="43" t="s">
        <v>340</v>
      </c>
      <c r="P16" s="70">
        <f>(Tabela4[[#This Row],[Nr porządkowy]]-0.3)/($A$20+0.4)</f>
        <v>0.36486486486486486</v>
      </c>
      <c r="Q16" s="76">
        <f>LN(Tabela4[[#This Row],[Czas do awarii Ti]])</f>
        <v>0.72737719339804763</v>
      </c>
      <c r="R16" s="76">
        <f>LN(-LN(1-Tabela4[[#This Row],[Empiryczne prawdopodobieństwo awarii (Fi)]]))</f>
        <v>-0.78983983425403359</v>
      </c>
      <c r="S16">
        <v>0.79590000000000005</v>
      </c>
      <c r="T16" cm="1">
        <f t="array" ref="T16">ROUND(SLOPE(_xlfn._xlws.FILTER(Tabela4[Y],$O$2:$O$26=Tabela4[[#This Row],[Base GroupB Cn]]),_xlfn._xlws.FILTER(Tabela4[X],$O$2:$O$26=Tabela4[[#This Row],[Base GroupB Cn]])),4)</f>
        <v>0.79590000000000005</v>
      </c>
      <c r="U16">
        <v>-1.6525000000000001</v>
      </c>
      <c r="V16" cm="1">
        <f t="array" ref="V16">ROUND(INTERCEPT(_xlfn._xlws.FILTER(Tabela4[Y],$O$2:$O$26=Tabela4[[#This Row],[Base GroupB Cn]]),_xlfn._xlws.FILTER(Tabela4[X],$O$2:$O$26=Tabela4[[#This Row],[Base GroupB Cn]])),4)</f>
        <v>-1.6525000000000001</v>
      </c>
      <c r="W16">
        <f>Tabela4[[#This Row],[a]]</f>
        <v>0.79590000000000005</v>
      </c>
      <c r="X16" s="79">
        <f>EXP(-Tabela4[[#This Row],[b]]/Tabela4[[#This Row],[a]])</f>
        <v>7.9746348640093805</v>
      </c>
      <c r="Y16" s="5">
        <f>1-EXP(-(('dane źródłowe'!$C$9/Tabela4[[#This Row],[η]])^Tabela4[[#This Row],[ß]]))</f>
        <v>0.4982562004362503</v>
      </c>
    </row>
    <row r="17" spans="1:26" x14ac:dyDescent="0.25">
      <c r="A17" s="41">
        <v>4</v>
      </c>
      <c r="B17" s="42">
        <v>45169</v>
      </c>
      <c r="C17" s="42">
        <v>45015</v>
      </c>
      <c r="D17" s="90">
        <v>5.0591327201051248</v>
      </c>
      <c r="E17" s="43" t="s">
        <v>334</v>
      </c>
      <c r="F17" s="44" t="s">
        <v>335</v>
      </c>
      <c r="G17" s="44" t="s">
        <v>336</v>
      </c>
      <c r="H17" s="44" t="s">
        <v>337</v>
      </c>
      <c r="I17" s="43" t="s">
        <v>40</v>
      </c>
      <c r="J17" s="43" t="s">
        <v>338</v>
      </c>
      <c r="K17" s="43" t="s">
        <v>42</v>
      </c>
      <c r="L17" s="43" t="s">
        <v>43</v>
      </c>
      <c r="M17" s="45" t="s">
        <v>339</v>
      </c>
      <c r="N17" s="43" t="s">
        <v>45</v>
      </c>
      <c r="O17" s="43" t="s">
        <v>340</v>
      </c>
      <c r="P17" s="70">
        <f>(Tabela4[[#This Row],[Nr porządkowy]]-0.3)/($A$20+0.4)</f>
        <v>0.5</v>
      </c>
      <c r="Q17" s="76">
        <f>LN(Tabela4[[#This Row],[Czas do awarii Ti]])</f>
        <v>1.621195069420144</v>
      </c>
      <c r="R17" s="76">
        <f>LN(-LN(1-Tabela4[[#This Row],[Empiryczne prawdopodobieństwo awarii (Fi)]]))</f>
        <v>-0.36651292058166435</v>
      </c>
      <c r="S17">
        <v>0.79590000000000005</v>
      </c>
      <c r="T17" cm="1">
        <f t="array" ref="T17">ROUND(SLOPE(_xlfn._xlws.FILTER(Tabela4[Y],$O$2:$O$26=Tabela4[[#This Row],[Base GroupB Cn]]),_xlfn._xlws.FILTER(Tabela4[X],$O$2:$O$26=Tabela4[[#This Row],[Base GroupB Cn]])),4)</f>
        <v>0.79590000000000005</v>
      </c>
      <c r="U17">
        <v>-1.6525000000000001</v>
      </c>
      <c r="V17" cm="1">
        <f t="array" ref="V17">ROUND(INTERCEPT(_xlfn._xlws.FILTER(Tabela4[Y],$O$2:$O$26=Tabela4[[#This Row],[Base GroupB Cn]]),_xlfn._xlws.FILTER(Tabela4[X],$O$2:$O$26=Tabela4[[#This Row],[Base GroupB Cn]])),4)</f>
        <v>-1.6525000000000001</v>
      </c>
      <c r="W17">
        <f>Tabela4[[#This Row],[a]]</f>
        <v>0.79590000000000005</v>
      </c>
      <c r="X17" s="79">
        <f>EXP(-Tabela4[[#This Row],[b]]/Tabela4[[#This Row],[a]])</f>
        <v>7.9746348640093805</v>
      </c>
      <c r="Y17" s="5">
        <f>1-EXP(-(('dane źródłowe'!$C$9/Tabela4[[#This Row],[η]])^Tabela4[[#This Row],[ß]]))</f>
        <v>0.4982562004362503</v>
      </c>
    </row>
    <row r="18" spans="1:26" x14ac:dyDescent="0.25">
      <c r="A18" s="41">
        <v>5</v>
      </c>
      <c r="B18" s="42">
        <v>45260</v>
      </c>
      <c r="C18" s="42">
        <v>45098</v>
      </c>
      <c r="D18" s="90">
        <v>5.3219448094612352</v>
      </c>
      <c r="E18" s="43" t="s">
        <v>259</v>
      </c>
      <c r="F18" s="44" t="s">
        <v>260</v>
      </c>
      <c r="G18" s="44" t="s">
        <v>261</v>
      </c>
      <c r="H18" s="44" t="s">
        <v>262</v>
      </c>
      <c r="I18" s="43" t="s">
        <v>40</v>
      </c>
      <c r="J18" s="43" t="s">
        <v>263</v>
      </c>
      <c r="K18" s="43" t="s">
        <v>42</v>
      </c>
      <c r="L18" s="43" t="s">
        <v>43</v>
      </c>
      <c r="M18" s="45" t="s">
        <v>348</v>
      </c>
      <c r="N18" s="43" t="s">
        <v>45</v>
      </c>
      <c r="O18" s="43" t="s">
        <v>340</v>
      </c>
      <c r="P18" s="70">
        <f>(Tabela4[[#This Row],[Nr porządkowy]]-0.3)/($A$20+0.4)</f>
        <v>0.63513513513513509</v>
      </c>
      <c r="Q18" s="76">
        <f>LN(Tabela4[[#This Row],[Czas do awarii Ti]])</f>
        <v>1.671838802238899</v>
      </c>
      <c r="R18" s="76">
        <f>LN(-LN(1-Tabela4[[#This Row],[Empiryczne prawdopodobieństwo awarii (Fi)]]))</f>
        <v>8.1945598938292404E-3</v>
      </c>
      <c r="S18">
        <v>0.79590000000000005</v>
      </c>
      <c r="T18" cm="1">
        <f t="array" ref="T18">ROUND(SLOPE(_xlfn._xlws.FILTER(Tabela4[Y],$O$2:$O$26=Tabela4[[#This Row],[Base GroupB Cn]]),_xlfn._xlws.FILTER(Tabela4[X],$O$2:$O$26=Tabela4[[#This Row],[Base GroupB Cn]])),4)</f>
        <v>0.79590000000000005</v>
      </c>
      <c r="U18">
        <v>-1.6525000000000001</v>
      </c>
      <c r="V18" cm="1">
        <f t="array" ref="V18">ROUND(INTERCEPT(_xlfn._xlws.FILTER(Tabela4[Y],$O$2:$O$26=Tabela4[[#This Row],[Base GroupB Cn]]),_xlfn._xlws.FILTER(Tabela4[X],$O$2:$O$26=Tabela4[[#This Row],[Base GroupB Cn]])),4)</f>
        <v>-1.6525000000000001</v>
      </c>
      <c r="W18">
        <f>Tabela4[[#This Row],[a]]</f>
        <v>0.79590000000000005</v>
      </c>
      <c r="X18" s="79">
        <f>EXP(-Tabela4[[#This Row],[b]]/Tabela4[[#This Row],[a]])</f>
        <v>7.9746348640093805</v>
      </c>
      <c r="Y18" s="5">
        <f>1-EXP(-(('dane źródłowe'!$C$9/Tabela4[[#This Row],[η]])^Tabela4[[#This Row],[ß]]))</f>
        <v>0.4982562004362503</v>
      </c>
    </row>
    <row r="19" spans="1:26" x14ac:dyDescent="0.25">
      <c r="A19" s="41">
        <v>6</v>
      </c>
      <c r="B19" s="46">
        <v>45796</v>
      </c>
      <c r="C19" s="46">
        <v>45181</v>
      </c>
      <c r="D19" s="91">
        <v>20.203679369250985</v>
      </c>
      <c r="E19" s="47" t="s">
        <v>373</v>
      </c>
      <c r="F19" s="47" t="s">
        <v>374</v>
      </c>
      <c r="G19" s="47" t="s">
        <v>375</v>
      </c>
      <c r="H19" s="47" t="s">
        <v>376</v>
      </c>
      <c r="I19" s="47" t="s">
        <v>40</v>
      </c>
      <c r="J19" s="47" t="s">
        <v>377</v>
      </c>
      <c r="K19" s="47" t="s">
        <v>42</v>
      </c>
      <c r="L19" s="47" t="s">
        <v>43</v>
      </c>
      <c r="M19" s="47" t="s">
        <v>365</v>
      </c>
      <c r="N19" s="47" t="s">
        <v>45</v>
      </c>
      <c r="O19" s="43" t="s">
        <v>340</v>
      </c>
      <c r="P19" s="70">
        <f>(Tabela4[[#This Row],[Nr porządkowy]]-0.3)/($A$20+0.4)</f>
        <v>0.77027027027027029</v>
      </c>
      <c r="Q19" s="76">
        <f>LN(Tabela4[[#This Row],[Czas do awarii Ti]])</f>
        <v>3.005864734813033</v>
      </c>
      <c r="R19" s="76">
        <f>LN(-LN(1-Tabela4[[#This Row],[Empiryczne prawdopodobieństwo awarii (Fi)]]))</f>
        <v>0.38584165418008665</v>
      </c>
      <c r="S19">
        <v>0.79590000000000005</v>
      </c>
      <c r="T19" cm="1">
        <f t="array" ref="T19">ROUND(SLOPE(_xlfn._xlws.FILTER(Tabela4[Y],$O$2:$O$26=Tabela4[[#This Row],[Base GroupB Cn]]),_xlfn._xlws.FILTER(Tabela4[X],$O$2:$O$26=Tabela4[[#This Row],[Base GroupB Cn]])),4)</f>
        <v>0.79590000000000005</v>
      </c>
      <c r="U19">
        <v>-1.6525000000000001</v>
      </c>
      <c r="V19" cm="1">
        <f t="array" ref="V19">ROUND(INTERCEPT(_xlfn._xlws.FILTER(Tabela4[Y],$O$2:$O$26=Tabela4[[#This Row],[Base GroupB Cn]]),_xlfn._xlws.FILTER(Tabela4[X],$O$2:$O$26=Tabela4[[#This Row],[Base GroupB Cn]])),4)</f>
        <v>-1.6525000000000001</v>
      </c>
      <c r="W19">
        <f>Tabela4[[#This Row],[a]]</f>
        <v>0.79590000000000005</v>
      </c>
      <c r="X19" s="79">
        <f>EXP(-Tabela4[[#This Row],[b]]/Tabela4[[#This Row],[a]])</f>
        <v>7.9746348640093805</v>
      </c>
      <c r="Y19" s="5">
        <f>1-EXP(-(('dane źródłowe'!$C$9/Tabela4[[#This Row],[η]])^Tabela4[[#This Row],[ß]]))</f>
        <v>0.4982562004362503</v>
      </c>
    </row>
    <row r="20" spans="1:26" x14ac:dyDescent="0.25">
      <c r="A20" s="41">
        <v>7</v>
      </c>
      <c r="B20" s="42">
        <v>45684</v>
      </c>
      <c r="C20" s="42">
        <v>45016</v>
      </c>
      <c r="D20" s="90">
        <v>21.944809461235216</v>
      </c>
      <c r="E20" s="43" t="s">
        <v>320</v>
      </c>
      <c r="F20" s="43" t="s">
        <v>37</v>
      </c>
      <c r="G20" s="43" t="s">
        <v>321</v>
      </c>
      <c r="H20" s="43" t="s">
        <v>322</v>
      </c>
      <c r="I20" s="43" t="s">
        <v>40</v>
      </c>
      <c r="J20" s="43" t="s">
        <v>323</v>
      </c>
      <c r="K20" s="43" t="s">
        <v>42</v>
      </c>
      <c r="L20" s="43" t="s">
        <v>43</v>
      </c>
      <c r="M20" s="43" t="s">
        <v>343</v>
      </c>
      <c r="N20" s="43" t="s">
        <v>45</v>
      </c>
      <c r="O20" s="43" t="s">
        <v>340</v>
      </c>
      <c r="P20" s="70">
        <f>(Tabela4[[#This Row],[Nr porządkowy]]-0.3)/($A$20+0.4)</f>
        <v>0.90540540540540537</v>
      </c>
      <c r="Q20" s="76">
        <f>LN(Tabela4[[#This Row],[Czas do awarii Ti]])</f>
        <v>3.0885306405431607</v>
      </c>
      <c r="R20" s="76">
        <f>LN(-LN(1-Tabela4[[#This Row],[Empiryczne prawdopodobieństwo awarii (Fi)]]))</f>
        <v>0.85787950994316486</v>
      </c>
      <c r="S20">
        <v>0.79590000000000005</v>
      </c>
      <c r="T20" cm="1">
        <f t="array" ref="T20">ROUND(SLOPE(_xlfn._xlws.FILTER(Tabela4[Y],$O$2:$O$26=Tabela4[[#This Row],[Base GroupB Cn]]),_xlfn._xlws.FILTER(Tabela4[X],$O$2:$O$26=Tabela4[[#This Row],[Base GroupB Cn]])),4)</f>
        <v>0.79590000000000005</v>
      </c>
      <c r="U20">
        <v>-1.6525000000000001</v>
      </c>
      <c r="V20" cm="1">
        <f t="array" ref="V20">ROUND(INTERCEPT(_xlfn._xlws.FILTER(Tabela4[Y],$O$2:$O$26=Tabela4[[#This Row],[Base GroupB Cn]]),_xlfn._xlws.FILTER(Tabela4[X],$O$2:$O$26=Tabela4[[#This Row],[Base GroupB Cn]])),4)</f>
        <v>-1.6525000000000001</v>
      </c>
      <c r="W20">
        <f>Tabela4[[#This Row],[a]]</f>
        <v>0.79590000000000005</v>
      </c>
      <c r="X20" s="79">
        <f>EXP(-Tabela4[[#This Row],[b]]/Tabela4[[#This Row],[a]])</f>
        <v>7.9746348640093805</v>
      </c>
      <c r="Y20" s="5">
        <f>1-EXP(-(('dane źródłowe'!$C$9/Tabela4[[#This Row],[η]])^Tabela4[[#This Row],[ß]]))</f>
        <v>0.4982562004362503</v>
      </c>
    </row>
    <row r="21" spans="1:26" x14ac:dyDescent="0.25">
      <c r="A21" s="50">
        <v>1</v>
      </c>
      <c r="B21" s="51">
        <v>45289</v>
      </c>
      <c r="C21" s="51">
        <v>45229</v>
      </c>
      <c r="D21" s="92">
        <v>1.9710906701708277</v>
      </c>
      <c r="E21" s="52" t="s">
        <v>55</v>
      </c>
      <c r="F21" s="53" t="s">
        <v>56</v>
      </c>
      <c r="G21" s="53" t="s">
        <v>57</v>
      </c>
      <c r="H21" s="53" t="s">
        <v>58</v>
      </c>
      <c r="I21" s="52" t="s">
        <v>40</v>
      </c>
      <c r="J21" s="52" t="s">
        <v>59</v>
      </c>
      <c r="K21" s="52" t="s">
        <v>42</v>
      </c>
      <c r="L21" s="52" t="s">
        <v>43</v>
      </c>
      <c r="M21" s="54" t="s">
        <v>403</v>
      </c>
      <c r="N21" s="52" t="s">
        <v>53</v>
      </c>
      <c r="O21" s="52" t="s">
        <v>404</v>
      </c>
      <c r="P21" s="71">
        <f>(Tabela4[[#This Row],[Nr porządkowy]]-0.3)/($A$22+0.4)</f>
        <v>0.29166666666666669</v>
      </c>
      <c r="Q21" s="77">
        <f>LN(Tabela4[[#This Row],[Czas do awarii Ti]])</f>
        <v>0.67858702922861558</v>
      </c>
      <c r="R21" s="77">
        <f>LN(-LN(1-Tabela4[[#This Row],[Empiryczne prawdopodobieństwo awarii (Fi)]]))</f>
        <v>-1.0646733274461582</v>
      </c>
      <c r="S21"/>
      <c r="T21" cm="1">
        <f t="array" ref="T21">ROUND(SLOPE(_xlfn._xlws.FILTER(Tabela4[Y],$O$2:$O$26=Tabela4[[#This Row],[Base GroupB Cn]]),_xlfn._xlws.FILTER(Tabela4[X],$O$2:$O$26=Tabela4[[#This Row],[Base GroupB Cn]])),4)</f>
        <v>1.5703</v>
      </c>
      <c r="U21"/>
      <c r="V21" cm="1">
        <f t="array" ref="V21">ROUND(INTERCEPT(_xlfn._xlws.FILTER(Tabela4[Y],$O$2:$O$26=Tabela4[[#This Row],[Base GroupB Cn]]),_xlfn._xlws.FILTER(Tabela4[X],$O$2:$O$26=Tabela4[[#This Row],[Base GroupB Cn]])),4)</f>
        <v>-2.1303000000000001</v>
      </c>
      <c r="X21" s="79"/>
      <c r="Y21" s="5"/>
    </row>
    <row r="22" spans="1:26" x14ac:dyDescent="0.25">
      <c r="A22" s="50">
        <v>2</v>
      </c>
      <c r="B22" s="55">
        <v>45169</v>
      </c>
      <c r="C22" s="55">
        <v>45034</v>
      </c>
      <c r="D22" s="93">
        <v>4.4349540078843628</v>
      </c>
      <c r="E22" s="56" t="s">
        <v>405</v>
      </c>
      <c r="F22" s="57" t="s">
        <v>406</v>
      </c>
      <c r="G22" s="57" t="s">
        <v>407</v>
      </c>
      <c r="H22" s="57" t="s">
        <v>408</v>
      </c>
      <c r="I22" s="56" t="s">
        <v>40</v>
      </c>
      <c r="J22" s="56" t="s">
        <v>409</v>
      </c>
      <c r="K22" s="56" t="s">
        <v>42</v>
      </c>
      <c r="L22" s="56" t="s">
        <v>43</v>
      </c>
      <c r="M22" s="58" t="s">
        <v>410</v>
      </c>
      <c r="N22" s="56" t="s">
        <v>53</v>
      </c>
      <c r="O22" s="56" t="s">
        <v>404</v>
      </c>
      <c r="P22" s="71">
        <f>(Tabela4[[#This Row],[Nr porządkowy]]-0.3)/($A$22+0.4)</f>
        <v>0.70833333333333337</v>
      </c>
      <c r="Q22" s="77">
        <f>LN(Tabela4[[#This Row],[Czas do awarii Ti]])</f>
        <v>1.4895172454449443</v>
      </c>
      <c r="R22" s="77">
        <f>LN(-LN(1-Tabela4[[#This Row],[Empiryczne prawdopodobieństwo awarii (Fi)]]))</f>
        <v>0.20875548273706646</v>
      </c>
      <c r="S22"/>
      <c r="T22" cm="1">
        <f t="array" ref="T22">ROUND(SLOPE(_xlfn._xlws.FILTER(Tabela4[Y],$O$2:$O$26=Tabela4[[#This Row],[Base GroupB Cn]]),_xlfn._xlws.FILTER(Tabela4[X],$O$2:$O$26=Tabela4[[#This Row],[Base GroupB Cn]])),4)</f>
        <v>1.5703</v>
      </c>
      <c r="U22"/>
      <c r="V22" cm="1">
        <f t="array" ref="V22">ROUND(INTERCEPT(_xlfn._xlws.FILTER(Tabela4[Y],$O$2:$O$26=Tabela4[[#This Row],[Base GroupB Cn]]),_xlfn._xlws.FILTER(Tabela4[X],$O$2:$O$26=Tabela4[[#This Row],[Base GroupB Cn]])),4)</f>
        <v>-2.1303000000000001</v>
      </c>
      <c r="X22" s="79"/>
      <c r="Y22" s="5"/>
    </row>
    <row r="23" spans="1:26" x14ac:dyDescent="0.25">
      <c r="A23" s="59">
        <v>1</v>
      </c>
      <c r="B23" s="60">
        <v>45230</v>
      </c>
      <c r="C23" s="60">
        <v>45169</v>
      </c>
      <c r="D23" s="94">
        <v>2.0039421813403417</v>
      </c>
      <c r="E23" s="61" t="s">
        <v>439</v>
      </c>
      <c r="F23" s="62" t="s">
        <v>110</v>
      </c>
      <c r="G23" s="62" t="s">
        <v>440</v>
      </c>
      <c r="H23" s="62" t="s">
        <v>441</v>
      </c>
      <c r="I23" s="61" t="s">
        <v>40</v>
      </c>
      <c r="J23" s="61" t="s">
        <v>442</v>
      </c>
      <c r="K23" s="61" t="s">
        <v>42</v>
      </c>
      <c r="L23" s="61" t="s">
        <v>43</v>
      </c>
      <c r="M23" s="63" t="s">
        <v>40</v>
      </c>
      <c r="N23" s="61" t="s">
        <v>42</v>
      </c>
      <c r="O23" s="61" t="s">
        <v>43</v>
      </c>
      <c r="P23" s="72">
        <f>(Tabela4[[#This Row],[Nr porządkowy]]-0.3)/($A$26+0.4)</f>
        <v>0.15909090909090906</v>
      </c>
      <c r="Q23" s="78">
        <f>LN(Tabela4[[#This Row],[Czas do awarii Ti]])</f>
        <v>0.69511633117982619</v>
      </c>
      <c r="R23" s="78">
        <f>LN(-LN(1-Tabela4[[#This Row],[Empiryczne prawdopodobieństwo awarii (Fi)]]))</f>
        <v>-1.752894273451838</v>
      </c>
      <c r="S23">
        <v>1.3684000000000001</v>
      </c>
      <c r="T23" cm="1">
        <f t="array" ref="T23">ROUND(SLOPE(_xlfn._xlws.FILTER(Tabela4[Y],$O$2:$O$26=Tabela4[[#This Row],[Base GroupB Cn]]),_xlfn._xlws.FILTER(Tabela4[X],$O$2:$O$26=Tabela4[[#This Row],[Base GroupB Cn]])),4)</f>
        <v>1.3684000000000001</v>
      </c>
      <c r="U23">
        <v>-2.7603</v>
      </c>
      <c r="V23" cm="1">
        <f t="array" ref="V23">ROUND(INTERCEPT(_xlfn._xlws.FILTER(Tabela4[Y],$O$2:$O$26=Tabela4[[#This Row],[Base GroupB Cn]]),_xlfn._xlws.FILTER(Tabela4[X],$O$2:$O$26=Tabela4[[#This Row],[Base GroupB Cn]])),4)</f>
        <v>-2.7603</v>
      </c>
      <c r="W23">
        <f>Tabela4[[#This Row],[a]]</f>
        <v>1.3684000000000001</v>
      </c>
      <c r="X23" s="79">
        <f>EXP(-Tabela4[[#This Row],[b]]/Tabela4[[#This Row],[a]])</f>
        <v>7.5170467478646685</v>
      </c>
      <c r="Y23" s="5">
        <f>1-EXP(-(('dane źródłowe'!$C$9/Tabela4[[#This Row],[η]])^Tabela4[[#This Row],[ß]]))</f>
        <v>0.43582117575685053</v>
      </c>
      <c r="Z23" s="5">
        <f>Tabela4[[#This Row],[Prawdopodobieństwo wystąpienia awarii F(t)]]*4</f>
        <v>1.7432847030274021</v>
      </c>
    </row>
    <row r="24" spans="1:26" x14ac:dyDescent="0.25">
      <c r="A24" s="59">
        <v>2</v>
      </c>
      <c r="B24" s="64">
        <v>45230</v>
      </c>
      <c r="C24" s="64">
        <v>45064</v>
      </c>
      <c r="D24" s="95">
        <v>5.4533508541392903</v>
      </c>
      <c r="E24" s="65" t="s">
        <v>435</v>
      </c>
      <c r="F24" s="66" t="s">
        <v>115</v>
      </c>
      <c r="G24" s="66" t="s">
        <v>436</v>
      </c>
      <c r="H24" s="66" t="s">
        <v>437</v>
      </c>
      <c r="I24" s="65" t="s">
        <v>40</v>
      </c>
      <c r="J24" s="65" t="s">
        <v>438</v>
      </c>
      <c r="K24" s="65" t="s">
        <v>42</v>
      </c>
      <c r="L24" s="65" t="s">
        <v>43</v>
      </c>
      <c r="M24" s="67" t="s">
        <v>40</v>
      </c>
      <c r="N24" s="65" t="s">
        <v>42</v>
      </c>
      <c r="O24" s="65" t="s">
        <v>43</v>
      </c>
      <c r="P24" s="72">
        <f>(Tabela4[[#This Row],[Nr porządkowy]]-0.3)/($A$26+0.4)</f>
        <v>0.3863636363636363</v>
      </c>
      <c r="Q24" s="78">
        <f>LN(Tabela4[[#This Row],[Czas do awarii Ti]])</f>
        <v>1.6962302553630582</v>
      </c>
      <c r="R24" s="78">
        <f>LN(-LN(1-Tabela4[[#This Row],[Empiryczne prawdopodobieństwo awarii (Fi)]]))</f>
        <v>-0.71671724921501978</v>
      </c>
      <c r="S24">
        <v>1.3684000000000001</v>
      </c>
      <c r="T24" cm="1">
        <f t="array" ref="T24">ROUND(SLOPE(_xlfn._xlws.FILTER(Tabela4[Y],$O$2:$O$26=Tabela4[[#This Row],[Base GroupB Cn]]),_xlfn._xlws.FILTER(Tabela4[X],$O$2:$O$26=Tabela4[[#This Row],[Base GroupB Cn]])),4)</f>
        <v>1.3684000000000001</v>
      </c>
      <c r="U24">
        <v>-2.7603</v>
      </c>
      <c r="V24" cm="1">
        <f t="array" ref="V24">ROUND(INTERCEPT(_xlfn._xlws.FILTER(Tabela4[Y],$O$2:$O$26=Tabela4[[#This Row],[Base GroupB Cn]]),_xlfn._xlws.FILTER(Tabela4[X],$O$2:$O$26=Tabela4[[#This Row],[Base GroupB Cn]])),4)</f>
        <v>-2.7603</v>
      </c>
      <c r="W24">
        <f>Tabela4[[#This Row],[a]]</f>
        <v>1.3684000000000001</v>
      </c>
      <c r="X24" s="79">
        <f>EXP(-Tabela4[[#This Row],[b]]/Tabela4[[#This Row],[a]])</f>
        <v>7.5170467478646685</v>
      </c>
      <c r="Y24" s="5">
        <f>1-EXP(-(('dane źródłowe'!$C$9/Tabela4[[#This Row],[η]])^Tabela4[[#This Row],[ß]]))</f>
        <v>0.43582117575685053</v>
      </c>
    </row>
    <row r="25" spans="1:26" x14ac:dyDescent="0.25">
      <c r="A25" s="59">
        <v>3</v>
      </c>
      <c r="B25" s="64">
        <v>45289</v>
      </c>
      <c r="C25" s="64">
        <v>45096</v>
      </c>
      <c r="D25" s="95">
        <v>6.3403416557161627</v>
      </c>
      <c r="E25" s="65" t="s">
        <v>447</v>
      </c>
      <c r="F25" s="66" t="s">
        <v>448</v>
      </c>
      <c r="G25" s="66" t="s">
        <v>449</v>
      </c>
      <c r="H25" s="66" t="s">
        <v>450</v>
      </c>
      <c r="I25" s="65" t="s">
        <v>40</v>
      </c>
      <c r="J25" s="65" t="s">
        <v>451</v>
      </c>
      <c r="K25" s="65" t="s">
        <v>42</v>
      </c>
      <c r="L25" s="65" t="s">
        <v>43</v>
      </c>
      <c r="M25" s="67" t="s">
        <v>452</v>
      </c>
      <c r="N25" s="65" t="s">
        <v>42</v>
      </c>
      <c r="O25" s="65" t="s">
        <v>43</v>
      </c>
      <c r="P25" s="72">
        <f>(Tabela4[[#This Row],[Nr porządkowy]]-0.3)/($A$26+0.4)</f>
        <v>0.61363636363636365</v>
      </c>
      <c r="Q25" s="78">
        <f>LN(Tabela4[[#This Row],[Czas do awarii Ti]])</f>
        <v>1.8469326559114003</v>
      </c>
      <c r="R25" s="78">
        <f>LN(-LN(1-Tabela4[[#This Row],[Empiryczne prawdopodobieństwo awarii (Fi)]]))</f>
        <v>-5.0266148543505945E-2</v>
      </c>
      <c r="S25">
        <v>1.3684000000000001</v>
      </c>
      <c r="T25" cm="1">
        <f t="array" ref="T25">ROUND(SLOPE(_xlfn._xlws.FILTER(Tabela4[Y],$O$2:$O$26=Tabela4[[#This Row],[Base GroupB Cn]]),_xlfn._xlws.FILTER(Tabela4[X],$O$2:$O$26=Tabela4[[#This Row],[Base GroupB Cn]])),4)</f>
        <v>1.3684000000000001</v>
      </c>
      <c r="U25">
        <v>-2.7603</v>
      </c>
      <c r="V25" cm="1">
        <f t="array" ref="V25">ROUND(INTERCEPT(_xlfn._xlws.FILTER(Tabela4[Y],$O$2:$O$26=Tabela4[[#This Row],[Base GroupB Cn]]),_xlfn._xlws.FILTER(Tabela4[X],$O$2:$O$26=Tabela4[[#This Row],[Base GroupB Cn]])),4)</f>
        <v>-2.7603</v>
      </c>
      <c r="W25">
        <f>Tabela4[[#This Row],[a]]</f>
        <v>1.3684000000000001</v>
      </c>
      <c r="X25" s="79">
        <f>EXP(-Tabela4[[#This Row],[b]]/Tabela4[[#This Row],[a]])</f>
        <v>7.5170467478646685</v>
      </c>
      <c r="Y25" s="5">
        <f>1-EXP(-(('dane źródłowe'!$C$9/Tabela4[[#This Row],[η]])^Tabela4[[#This Row],[ß]]))</f>
        <v>0.43582117575685053</v>
      </c>
    </row>
    <row r="26" spans="1:26" x14ac:dyDescent="0.25">
      <c r="A26" s="59">
        <v>4</v>
      </c>
      <c r="B26" s="68">
        <v>45559</v>
      </c>
      <c r="C26" s="68">
        <v>45212</v>
      </c>
      <c r="D26" s="96">
        <v>11.399474375821287</v>
      </c>
      <c r="E26" s="69" t="s">
        <v>468</v>
      </c>
      <c r="F26" s="69" t="s">
        <v>469</v>
      </c>
      <c r="G26" s="69" t="s">
        <v>470</v>
      </c>
      <c r="H26" s="69" t="s">
        <v>471</v>
      </c>
      <c r="I26" s="69" t="s">
        <v>40</v>
      </c>
      <c r="J26" s="69" t="s">
        <v>472</v>
      </c>
      <c r="K26" s="69" t="s">
        <v>42</v>
      </c>
      <c r="L26" s="69" t="s">
        <v>43</v>
      </c>
      <c r="M26" s="69" t="s">
        <v>40</v>
      </c>
      <c r="N26" s="69" t="s">
        <v>42</v>
      </c>
      <c r="O26" s="69" t="s">
        <v>43</v>
      </c>
      <c r="P26" s="72">
        <f>(Tabela4[[#This Row],[Nr porządkowy]]-0.3)/($A$26+0.4)</f>
        <v>0.84090909090909083</v>
      </c>
      <c r="Q26" s="78">
        <f>LN(Tabela4[[#This Row],[Czas do awarii Ti]])</f>
        <v>2.4335672469533738</v>
      </c>
      <c r="R26" s="78">
        <f>LN(-LN(1-Tabela4[[#This Row],[Empiryczne prawdopodobieństwo awarii (Fi)]]))</f>
        <v>0.60883007160268721</v>
      </c>
      <c r="S26">
        <v>1.3684000000000001</v>
      </c>
      <c r="T26" cm="1">
        <f t="array" ref="T26">ROUND(SLOPE(_xlfn._xlws.FILTER(Tabela4[Y],$O$2:$O$26=Tabela4[[#This Row],[Base GroupB Cn]]),_xlfn._xlws.FILTER(Tabela4[X],$O$2:$O$26=Tabela4[[#This Row],[Base GroupB Cn]])),4)</f>
        <v>1.3684000000000001</v>
      </c>
      <c r="U26">
        <v>-2.7603</v>
      </c>
      <c r="V26" cm="1">
        <f t="array" ref="V26">ROUND(INTERCEPT(_xlfn._xlws.FILTER(Tabela4[Y],$O$2:$O$26=Tabela4[[#This Row],[Base GroupB Cn]]),_xlfn._xlws.FILTER(Tabela4[X],$O$2:$O$26=Tabela4[[#This Row],[Base GroupB Cn]])),4)</f>
        <v>-2.7603</v>
      </c>
      <c r="W26">
        <f>Tabela4[[#This Row],[a]]</f>
        <v>1.3684000000000001</v>
      </c>
      <c r="X26" s="79">
        <f>EXP(-Tabela4[[#This Row],[b]]/Tabela4[[#This Row],[a]])</f>
        <v>7.5170467478646685</v>
      </c>
      <c r="Y26" s="5">
        <f>1-EXP(-(('dane źródłowe'!$C$9/Tabela4[[#This Row],[η]])^Tabela4[[#This Row],[ß]]))</f>
        <v>0.43582117575685053</v>
      </c>
    </row>
    <row r="28" spans="1:26" ht="15.75" x14ac:dyDescent="0.25">
      <c r="A28" s="29"/>
    </row>
  </sheetData>
  <phoneticPr fontId="10" type="noConversion"/>
  <conditionalFormatting sqref="D1:D26">
    <cfRule type="cellIs" dxfId="1" priority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6B06-EDAB-4C7F-A38C-EED5AD4B133E}">
  <dimension ref="A1:Z37"/>
  <sheetViews>
    <sheetView workbookViewId="0">
      <selection activeCell="S7" sqref="S7"/>
    </sheetView>
  </sheetViews>
  <sheetFormatPr defaultRowHeight="15" x14ac:dyDescent="0.25"/>
  <cols>
    <col min="1" max="1" width="14.42578125" bestFit="1" customWidth="1"/>
    <col min="2" max="2" width="20.42578125" bestFit="1" customWidth="1"/>
    <col min="3" max="3" width="28.140625" hidden="1" customWidth="1"/>
    <col min="4" max="4" width="15.85546875" hidden="1" customWidth="1"/>
    <col min="5" max="5" width="18.5703125" hidden="1" customWidth="1"/>
    <col min="6" max="6" width="34.42578125" hidden="1" customWidth="1"/>
    <col min="7" max="7" width="23.42578125" hidden="1" customWidth="1"/>
    <col min="8" max="8" width="23.85546875" hidden="1" customWidth="1"/>
    <col min="9" max="9" width="27.28515625" hidden="1" customWidth="1"/>
    <col min="10" max="10" width="26.85546875" hidden="1" customWidth="1"/>
    <col min="11" max="11" width="19.7109375" hidden="1" customWidth="1"/>
    <col min="12" max="12" width="17" hidden="1" customWidth="1"/>
    <col min="13" max="13" width="20.140625" hidden="1" customWidth="1"/>
    <col min="14" max="14" width="22.5703125" hidden="1" customWidth="1"/>
    <col min="15" max="15" width="9.85546875" hidden="1" customWidth="1"/>
    <col min="16" max="16" width="19.140625" customWidth="1"/>
    <col min="22" max="22" width="9.5703125" bestFit="1" customWidth="1"/>
    <col min="23" max="23" width="23.7109375" customWidth="1"/>
  </cols>
  <sheetData>
    <row r="1" spans="1:26" s="11" customFormat="1" ht="45" x14ac:dyDescent="0.25">
      <c r="A1" s="10" t="s">
        <v>549</v>
      </c>
      <c r="B1" s="10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8</v>
      </c>
      <c r="H1" s="9" t="s">
        <v>11</v>
      </c>
      <c r="I1" s="9" t="s">
        <v>14</v>
      </c>
      <c r="J1" s="9" t="s">
        <v>15</v>
      </c>
      <c r="K1" s="9" t="s">
        <v>16</v>
      </c>
      <c r="L1" s="9" t="s">
        <v>19</v>
      </c>
      <c r="M1" s="9" t="s">
        <v>20</v>
      </c>
      <c r="N1" s="9" t="s">
        <v>34</v>
      </c>
      <c r="O1" s="10" t="s">
        <v>35</v>
      </c>
      <c r="P1" s="28" t="s">
        <v>538</v>
      </c>
      <c r="Q1" s="28" t="s">
        <v>539</v>
      </c>
      <c r="R1" s="28" t="s">
        <v>540</v>
      </c>
      <c r="S1" s="28" t="s">
        <v>541</v>
      </c>
      <c r="T1" s="28" t="s">
        <v>543</v>
      </c>
      <c r="U1" s="28" t="s">
        <v>545</v>
      </c>
      <c r="V1" s="28" t="s">
        <v>546</v>
      </c>
      <c r="W1" s="28" t="s">
        <v>547</v>
      </c>
      <c r="Y1" s="85" t="s">
        <v>541</v>
      </c>
      <c r="Z1" s="85" t="s">
        <v>543</v>
      </c>
    </row>
    <row r="2" spans="1:26" x14ac:dyDescent="0.25">
      <c r="A2">
        <v>1</v>
      </c>
      <c r="B2" s="4">
        <v>0.32851511169513797</v>
      </c>
      <c r="C2" s="2" t="s">
        <v>313</v>
      </c>
      <c r="D2" s="2" t="s">
        <v>314</v>
      </c>
      <c r="E2" s="2" t="s">
        <v>315</v>
      </c>
      <c r="F2" s="2" t="s">
        <v>316</v>
      </c>
      <c r="G2" s="2" t="s">
        <v>40</v>
      </c>
      <c r="H2" s="2" t="s">
        <v>317</v>
      </c>
      <c r="I2" s="2" t="s">
        <v>42</v>
      </c>
      <c r="J2" s="2" t="s">
        <v>43</v>
      </c>
      <c r="K2" s="2" t="s">
        <v>141</v>
      </c>
      <c r="L2" s="2" t="s">
        <v>45</v>
      </c>
      <c r="M2" s="2" t="s">
        <v>142</v>
      </c>
      <c r="N2" s="3">
        <v>-927.18332999999996</v>
      </c>
      <c r="O2">
        <v>-1</v>
      </c>
      <c r="P2" s="5">
        <f>(Tabela2[[#This Row],[lp]]-0.3)/($A$37+0.4)</f>
        <v>1.9230769230769232E-2</v>
      </c>
      <c r="Q2">
        <f>LN(Tabela2[[#This Row],[Czas do awarii Ti]])</f>
        <v>-1.1131724399994394</v>
      </c>
      <c r="R2">
        <f>LN(-LN(1-Tabela2[[#This Row],[Empiryczne prawdopodobieństwo awarii (Fi)]]))</f>
        <v>-3.9415503865226063</v>
      </c>
      <c r="S2">
        <v>1.022</v>
      </c>
      <c r="T2">
        <v>-2.6318000000000001</v>
      </c>
      <c r="U2">
        <f>Tabela2[[#This Row],[a]]</f>
        <v>1.022</v>
      </c>
      <c r="V2" s="5">
        <f>EXP(-Tabela2[[#This Row],[b]]/Tabela2[[#This Row],[a]])</f>
        <v>13.133244596971549</v>
      </c>
      <c r="W2" s="5">
        <f>1-EXP(-(('dane źródłowe'!$C$9/Tabela2[[#This Row],[η]])^Tabela2[[#This Row],[ß]]))</f>
        <v>0.31113507357990045</v>
      </c>
      <c r="Y2" s="86">
        <v>1.022</v>
      </c>
      <c r="Z2" s="86">
        <v>-2.6318000000000001</v>
      </c>
    </row>
    <row r="3" spans="1:26" x14ac:dyDescent="0.25">
      <c r="A3">
        <v>2</v>
      </c>
      <c r="B3" s="4">
        <v>0.45992115637319314</v>
      </c>
      <c r="C3" s="2" t="s">
        <v>308</v>
      </c>
      <c r="D3" s="2" t="s">
        <v>309</v>
      </c>
      <c r="E3" s="2" t="s">
        <v>310</v>
      </c>
      <c r="F3" s="2" t="s">
        <v>311</v>
      </c>
      <c r="G3" s="2" t="s">
        <v>100</v>
      </c>
      <c r="H3" s="2" t="s">
        <v>312</v>
      </c>
      <c r="I3" s="2" t="s">
        <v>42</v>
      </c>
      <c r="J3" s="2" t="s">
        <v>43</v>
      </c>
      <c r="K3" s="2" t="s">
        <v>147</v>
      </c>
      <c r="L3" s="2" t="s">
        <v>45</v>
      </c>
      <c r="M3" s="2" t="s">
        <v>142</v>
      </c>
      <c r="N3" s="3">
        <v>-57.79</v>
      </c>
      <c r="O3">
        <v>-1</v>
      </c>
      <c r="P3" s="5">
        <f>(Tabela2[[#This Row],[lp]]-0.3)/($A$37+0.4)</f>
        <v>4.6703296703296704E-2</v>
      </c>
      <c r="Q3">
        <f>LN(Tabela2[[#This Row],[Czas do awarii Ti]])</f>
        <v>-0.77670020337822654</v>
      </c>
      <c r="R3">
        <f>LN(-LN(1-Tabela2[[#This Row],[Empiryczne prawdopodobieństwo awarii (Fi)]]))</f>
        <v>-3.0401212954864461</v>
      </c>
      <c r="S3">
        <v>1.022</v>
      </c>
      <c r="T3">
        <v>-2.6318000000000001</v>
      </c>
      <c r="U3">
        <f>Tabela2[[#This Row],[a]]</f>
        <v>1.022</v>
      </c>
      <c r="V3" s="5">
        <f>EXP(-Tabela2[[#This Row],[b]]/Tabela2[[#This Row],[a]])</f>
        <v>13.133244596971549</v>
      </c>
      <c r="W3" s="5">
        <f>1-EXP(-(('dane źródłowe'!$C$9/Tabela2[[#This Row],[η]])^Tabela2[[#This Row],[ß]]))</f>
        <v>0.31113507357990045</v>
      </c>
    </row>
    <row r="4" spans="1:26" x14ac:dyDescent="0.25">
      <c r="A4">
        <v>3</v>
      </c>
      <c r="B4" s="4">
        <v>1.0183968462549278</v>
      </c>
      <c r="C4" s="2" t="s">
        <v>274</v>
      </c>
      <c r="D4" t="s">
        <v>115</v>
      </c>
      <c r="E4" t="s">
        <v>275</v>
      </c>
      <c r="F4" t="s">
        <v>276</v>
      </c>
      <c r="G4" s="2" t="s">
        <v>85</v>
      </c>
      <c r="H4" s="2" t="s">
        <v>277</v>
      </c>
      <c r="I4" s="2" t="s">
        <v>42</v>
      </c>
      <c r="J4" s="2" t="s">
        <v>43</v>
      </c>
      <c r="K4" s="12" t="s">
        <v>147</v>
      </c>
      <c r="L4" s="2" t="s">
        <v>45</v>
      </c>
      <c r="M4" s="2" t="s">
        <v>142</v>
      </c>
      <c r="N4" s="13">
        <v>-58.48818</v>
      </c>
      <c r="O4" s="14">
        <v>-1</v>
      </c>
      <c r="P4" s="5">
        <f>(Tabela2[[#This Row],[lp]]-0.3)/($A$37+0.4)</f>
        <v>7.417582417582419E-2</v>
      </c>
      <c r="Q4">
        <f>LN(Tabela2[[#This Row],[Czas do awarii Ti]])</f>
        <v>1.8229671491661201E-2</v>
      </c>
      <c r="R4">
        <f>LN(-LN(1-Tabela2[[#This Row],[Empiryczne prawdopodobieństwo awarii (Fi)]]))</f>
        <v>-2.5630290177976645</v>
      </c>
      <c r="S4">
        <v>1.022</v>
      </c>
      <c r="T4">
        <v>-2.6318000000000001</v>
      </c>
      <c r="U4">
        <f>Tabela2[[#This Row],[a]]</f>
        <v>1.022</v>
      </c>
      <c r="V4" s="5">
        <f>EXP(-Tabela2[[#This Row],[b]]/Tabela2[[#This Row],[a]])</f>
        <v>13.133244596971549</v>
      </c>
      <c r="W4" s="5">
        <f>1-EXP(-(('dane źródłowe'!$C$9/Tabela2[[#This Row],[η]])^Tabela2[[#This Row],[ß]]))</f>
        <v>0.31113507357990045</v>
      </c>
    </row>
    <row r="5" spans="1:26" x14ac:dyDescent="0.25">
      <c r="A5">
        <v>4</v>
      </c>
      <c r="B5" s="4">
        <v>1.2483574244415243</v>
      </c>
      <c r="C5" s="2" t="s">
        <v>318</v>
      </c>
      <c r="D5" s="2" t="s">
        <v>193</v>
      </c>
      <c r="E5" s="2" t="s">
        <v>319</v>
      </c>
      <c r="F5" s="2" t="s">
        <v>195</v>
      </c>
      <c r="G5" s="2" t="s">
        <v>85</v>
      </c>
      <c r="H5" s="2" t="s">
        <v>196</v>
      </c>
      <c r="I5" s="2" t="s">
        <v>42</v>
      </c>
      <c r="J5" s="2" t="s">
        <v>43</v>
      </c>
      <c r="K5" s="2" t="s">
        <v>147</v>
      </c>
      <c r="L5" s="2" t="s">
        <v>45</v>
      </c>
      <c r="M5" s="2" t="s">
        <v>142</v>
      </c>
      <c r="N5" s="3">
        <v>-55.23</v>
      </c>
      <c r="O5">
        <v>-1</v>
      </c>
      <c r="P5" s="5">
        <f>(Tabela2[[#This Row],[lp]]-0.3)/($A$37+0.4)</f>
        <v>0.10164835164835166</v>
      </c>
      <c r="Q5">
        <f>LN(Tabela2[[#This Row],[Czas do awarii Ti]])</f>
        <v>0.22182862673290069</v>
      </c>
      <c r="R5">
        <f>LN(-LN(1-Tabela2[[#This Row],[Empiryczne prawdopodobieństwo awarii (Fi)]]))</f>
        <v>-2.233117831146116</v>
      </c>
      <c r="S5">
        <v>1.022</v>
      </c>
      <c r="T5">
        <v>-2.6318000000000001</v>
      </c>
      <c r="U5">
        <f>Tabela2[[#This Row],[a]]</f>
        <v>1.022</v>
      </c>
      <c r="V5" s="5">
        <f>EXP(-Tabela2[[#This Row],[b]]/Tabela2[[#This Row],[a]])</f>
        <v>13.133244596971549</v>
      </c>
      <c r="W5" s="5">
        <f>1-EXP(-(('dane źródłowe'!$C$9/Tabela2[[#This Row],[η]])^Tabela2[[#This Row],[ß]]))</f>
        <v>0.31113507357990045</v>
      </c>
    </row>
    <row r="6" spans="1:26" x14ac:dyDescent="0.25">
      <c r="A6">
        <v>5</v>
      </c>
      <c r="B6" s="4">
        <v>1.9382391590013139</v>
      </c>
      <c r="C6" s="2" t="s">
        <v>320</v>
      </c>
      <c r="D6" s="2" t="s">
        <v>37</v>
      </c>
      <c r="E6" s="2" t="s">
        <v>321</v>
      </c>
      <c r="F6" s="2" t="s">
        <v>322</v>
      </c>
      <c r="G6" s="2" t="s">
        <v>40</v>
      </c>
      <c r="H6" s="2" t="s">
        <v>323</v>
      </c>
      <c r="I6" s="2" t="s">
        <v>42</v>
      </c>
      <c r="J6" s="2" t="s">
        <v>43</v>
      </c>
      <c r="K6" s="2" t="s">
        <v>165</v>
      </c>
      <c r="L6" s="2" t="s">
        <v>45</v>
      </c>
      <c r="M6" s="2" t="s">
        <v>142</v>
      </c>
      <c r="N6" s="3">
        <v>-51.034999999999997</v>
      </c>
      <c r="O6">
        <v>-1</v>
      </c>
      <c r="P6" s="5">
        <f>(Tabela2[[#This Row],[lp]]-0.3)/($A$37+0.4)</f>
        <v>0.12912087912087913</v>
      </c>
      <c r="Q6">
        <f>LN(Tabela2[[#This Row],[Czas do awarii Ti]])</f>
        <v>0.66177991091223431</v>
      </c>
      <c r="R6">
        <f>LN(-LN(1-Tabela2[[#This Row],[Empiryczne prawdopodobieństwo awarii (Fi)]]))</f>
        <v>-1.9786764939604853</v>
      </c>
      <c r="S6">
        <v>1.022</v>
      </c>
      <c r="T6">
        <v>-2.6318000000000001</v>
      </c>
      <c r="U6">
        <f>Tabela2[[#This Row],[a]]</f>
        <v>1.022</v>
      </c>
      <c r="V6" s="5">
        <f>EXP(-Tabela2[[#This Row],[b]]/Tabela2[[#This Row],[a]])</f>
        <v>13.133244596971549</v>
      </c>
      <c r="W6" s="5">
        <f>1-EXP(-(('dane źródłowe'!$C$9/Tabela2[[#This Row],[η]])^Tabela2[[#This Row],[ß]]))</f>
        <v>0.31113507357990045</v>
      </c>
    </row>
    <row r="7" spans="1:26" x14ac:dyDescent="0.25">
      <c r="A7">
        <v>6</v>
      </c>
      <c r="B7" s="4">
        <v>2.0367936925098555</v>
      </c>
      <c r="C7" s="2" t="s">
        <v>223</v>
      </c>
      <c r="D7" t="s">
        <v>48</v>
      </c>
      <c r="E7" t="s">
        <v>224</v>
      </c>
      <c r="F7" t="s">
        <v>225</v>
      </c>
      <c r="G7" s="2" t="s">
        <v>40</v>
      </c>
      <c r="H7" s="2" t="s">
        <v>226</v>
      </c>
      <c r="I7" s="2" t="s">
        <v>42</v>
      </c>
      <c r="J7" s="2" t="s">
        <v>43</v>
      </c>
      <c r="K7" s="12" t="s">
        <v>165</v>
      </c>
      <c r="L7" s="2" t="s">
        <v>45</v>
      </c>
      <c r="M7" s="2" t="s">
        <v>142</v>
      </c>
      <c r="N7" s="13">
        <v>-82.263329999999996</v>
      </c>
      <c r="O7" s="14">
        <v>-1</v>
      </c>
      <c r="P7" s="5">
        <f>(Tabela2[[#This Row],[lp]]-0.3)/($A$37+0.4)</f>
        <v>0.15659340659340659</v>
      </c>
      <c r="Q7">
        <f>LN(Tabela2[[#This Row],[Czas do awarii Ti]])</f>
        <v>0.7113768520516065</v>
      </c>
      <c r="R7">
        <f>LN(-LN(1-Tabela2[[#This Row],[Empiryczne prawdopodobieństwo awarii (Fi)]]))</f>
        <v>-1.7701577550857879</v>
      </c>
      <c r="S7">
        <v>1.022</v>
      </c>
      <c r="T7">
        <v>-2.6318000000000001</v>
      </c>
      <c r="U7">
        <f>Tabela2[[#This Row],[a]]</f>
        <v>1.022</v>
      </c>
      <c r="V7" s="5">
        <f>EXP(-Tabela2[[#This Row],[b]]/Tabela2[[#This Row],[a]])</f>
        <v>13.133244596971549</v>
      </c>
      <c r="W7" s="5">
        <f>1-EXP(-(('dane źródłowe'!$C$9/Tabela2[[#This Row],[η]])^Tabela2[[#This Row],[ß]]))</f>
        <v>0.31113507357990045</v>
      </c>
    </row>
    <row r="8" spans="1:26" x14ac:dyDescent="0.25">
      <c r="A8">
        <v>7</v>
      </c>
      <c r="B8" s="4">
        <v>2.1024967148488831</v>
      </c>
      <c r="C8" s="2" t="s">
        <v>218</v>
      </c>
      <c r="D8" t="s">
        <v>219</v>
      </c>
      <c r="E8" t="s">
        <v>220</v>
      </c>
      <c r="F8" t="s">
        <v>221</v>
      </c>
      <c r="G8" s="2" t="s">
        <v>100</v>
      </c>
      <c r="H8" s="2" t="s">
        <v>222</v>
      </c>
      <c r="I8" s="2" t="s">
        <v>42</v>
      </c>
      <c r="J8" s="2" t="s">
        <v>43</v>
      </c>
      <c r="K8" s="12" t="s">
        <v>181</v>
      </c>
      <c r="L8" s="2" t="s">
        <v>45</v>
      </c>
      <c r="M8" s="2" t="s">
        <v>142</v>
      </c>
      <c r="N8" s="13">
        <v>-154.38200000000001</v>
      </c>
      <c r="O8" s="14">
        <v>-1</v>
      </c>
      <c r="P8" s="5">
        <f>(Tabela2[[#This Row],[lp]]-0.3)/($A$37+0.4)</f>
        <v>0.18406593406593408</v>
      </c>
      <c r="Q8">
        <f>LN(Tabela2[[#This Row],[Czas do awarii Ti]])</f>
        <v>0.74312555036618677</v>
      </c>
      <c r="R8">
        <f>LN(-LN(1-Tabela2[[#This Row],[Empiryczne prawdopodobieństwo awarii (Fi)]]))</f>
        <v>-1.5924739729807613</v>
      </c>
      <c r="S8">
        <v>1.022</v>
      </c>
      <c r="T8">
        <v>-2.6318000000000001</v>
      </c>
      <c r="U8">
        <f>Tabela2[[#This Row],[a]]</f>
        <v>1.022</v>
      </c>
      <c r="V8" s="5">
        <f>EXP(-Tabela2[[#This Row],[b]]/Tabela2[[#This Row],[a]])</f>
        <v>13.133244596971549</v>
      </c>
      <c r="W8" s="5">
        <f>1-EXP(-(('dane źródłowe'!$C$9/Tabela2[[#This Row],[η]])^Tabela2[[#This Row],[ß]]))</f>
        <v>0.31113507357990045</v>
      </c>
    </row>
    <row r="9" spans="1:26" x14ac:dyDescent="0.25">
      <c r="A9">
        <v>8</v>
      </c>
      <c r="B9" s="4">
        <v>3.0223390275952693</v>
      </c>
      <c r="C9" s="2" t="s">
        <v>303</v>
      </c>
      <c r="D9" s="2" t="s">
        <v>304</v>
      </c>
      <c r="E9" s="2" t="s">
        <v>305</v>
      </c>
      <c r="F9" s="2" t="s">
        <v>306</v>
      </c>
      <c r="G9" s="2" t="s">
        <v>70</v>
      </c>
      <c r="H9" s="2" t="s">
        <v>307</v>
      </c>
      <c r="I9" s="2" t="s">
        <v>42</v>
      </c>
      <c r="J9" s="2" t="s">
        <v>43</v>
      </c>
      <c r="K9" s="2" t="s">
        <v>159</v>
      </c>
      <c r="L9" s="2" t="s">
        <v>45</v>
      </c>
      <c r="M9" s="2" t="s">
        <v>142</v>
      </c>
      <c r="N9" s="3">
        <v>-58.84</v>
      </c>
      <c r="O9">
        <v>-1</v>
      </c>
      <c r="P9" s="5">
        <f>(Tabela2[[#This Row],[lp]]-0.3)/($A$37+0.4)</f>
        <v>0.21153846153846156</v>
      </c>
      <c r="Q9">
        <f>LN(Tabela2[[#This Row],[Czas do awarii Ti]])</f>
        <v>1.1060310440555552</v>
      </c>
      <c r="R9">
        <f>LN(-LN(1-Tabela2[[#This Row],[Empiryczne prawdopodobieństwo awarii (Fi)]]))</f>
        <v>-1.436865171815882</v>
      </c>
      <c r="S9">
        <v>1.022</v>
      </c>
      <c r="T9">
        <v>-2.6318000000000001</v>
      </c>
      <c r="U9">
        <f>Tabela2[[#This Row],[a]]</f>
        <v>1.022</v>
      </c>
      <c r="V9" s="5">
        <f>EXP(-Tabela2[[#This Row],[b]]/Tabela2[[#This Row],[a]])</f>
        <v>13.133244596971549</v>
      </c>
      <c r="W9" s="5">
        <f>1-EXP(-(('dane źródłowe'!$C$9/Tabela2[[#This Row],[η]])^Tabela2[[#This Row],[ß]]))</f>
        <v>0.31113507357990045</v>
      </c>
    </row>
    <row r="10" spans="1:26" x14ac:dyDescent="0.25">
      <c r="A10">
        <v>9</v>
      </c>
      <c r="B10" s="4">
        <v>4.6649145860709593</v>
      </c>
      <c r="C10" s="2" t="s">
        <v>259</v>
      </c>
      <c r="D10" t="s">
        <v>260</v>
      </c>
      <c r="E10" t="s">
        <v>261</v>
      </c>
      <c r="F10" t="s">
        <v>262</v>
      </c>
      <c r="G10" s="2" t="s">
        <v>40</v>
      </c>
      <c r="H10" s="2" t="s">
        <v>263</v>
      </c>
      <c r="I10" s="2" t="s">
        <v>42</v>
      </c>
      <c r="J10" s="2" t="s">
        <v>43</v>
      </c>
      <c r="K10" s="12" t="s">
        <v>141</v>
      </c>
      <c r="L10" s="2" t="s">
        <v>45</v>
      </c>
      <c r="M10" s="2" t="s">
        <v>142</v>
      </c>
      <c r="N10" s="13">
        <v>-155.52000000000001</v>
      </c>
      <c r="O10" s="14">
        <v>-1</v>
      </c>
      <c r="P10" s="5">
        <f>(Tabela2[[#This Row],[lp]]-0.3)/($A$37+0.4)</f>
        <v>0.23901098901098899</v>
      </c>
      <c r="Q10">
        <f>LN(Tabela2[[#This Row],[Czas do awarii Ti]])</f>
        <v>1.5400695246077756</v>
      </c>
      <c r="R10">
        <f>LN(-LN(1-Tabela2[[#This Row],[Empiryczne prawdopodobieństwo awarii (Fi)]]))</f>
        <v>-1.2977841160133732</v>
      </c>
      <c r="S10">
        <v>1.022</v>
      </c>
      <c r="T10">
        <v>-2.6318000000000001</v>
      </c>
      <c r="U10">
        <f>Tabela2[[#This Row],[a]]</f>
        <v>1.022</v>
      </c>
      <c r="V10" s="5">
        <f>EXP(-Tabela2[[#This Row],[b]]/Tabela2[[#This Row],[a]])</f>
        <v>13.133244596971549</v>
      </c>
      <c r="W10" s="5">
        <f>1-EXP(-(('dane źródłowe'!$C$9/Tabela2[[#This Row],[η]])^Tabela2[[#This Row],[ß]]))</f>
        <v>0.31113507357990045</v>
      </c>
    </row>
    <row r="11" spans="1:26" x14ac:dyDescent="0.25">
      <c r="A11">
        <v>10</v>
      </c>
      <c r="B11" s="4">
        <v>5.1576872536136662</v>
      </c>
      <c r="C11" s="2" t="s">
        <v>197</v>
      </c>
      <c r="D11" t="s">
        <v>198</v>
      </c>
      <c r="E11" t="s">
        <v>199</v>
      </c>
      <c r="F11" t="s">
        <v>200</v>
      </c>
      <c r="G11" s="2" t="s">
        <v>100</v>
      </c>
      <c r="H11" s="2" t="s">
        <v>201</v>
      </c>
      <c r="I11" s="2" t="s">
        <v>42</v>
      </c>
      <c r="J11" s="2" t="s">
        <v>43</v>
      </c>
      <c r="K11" s="12" t="s">
        <v>181</v>
      </c>
      <c r="L11" s="2" t="s">
        <v>45</v>
      </c>
      <c r="M11" s="2" t="s">
        <v>142</v>
      </c>
      <c r="N11" s="13">
        <v>-154.38499999999999</v>
      </c>
      <c r="O11" s="14">
        <v>-1</v>
      </c>
      <c r="P11" s="5">
        <f>(Tabela2[[#This Row],[lp]]-0.3)/($A$37+0.4)</f>
        <v>0.26648351648351648</v>
      </c>
      <c r="Q11">
        <f>LN(Tabela2[[#This Row],[Czas do awarii Ti]])</f>
        <v>1.6404882723548229</v>
      </c>
      <c r="R11">
        <f>LN(-LN(1-Tabela2[[#This Row],[Empiryczne prawdopodobieństwo awarii (Fi)]]))</f>
        <v>-1.1714888049186396</v>
      </c>
      <c r="S11">
        <v>1.022</v>
      </c>
      <c r="T11">
        <v>-2.6318000000000001</v>
      </c>
      <c r="U11">
        <f>Tabela2[[#This Row],[a]]</f>
        <v>1.022</v>
      </c>
      <c r="V11" s="5">
        <f>EXP(-Tabela2[[#This Row],[b]]/Tabela2[[#This Row],[a]])</f>
        <v>13.133244596971549</v>
      </c>
      <c r="W11" s="5">
        <f>1-EXP(-(('dane źródłowe'!$C$9/Tabela2[[#This Row],[η]])^Tabela2[[#This Row],[ß]]))</f>
        <v>0.31113507357990045</v>
      </c>
    </row>
    <row r="12" spans="1:26" x14ac:dyDescent="0.25">
      <c r="A12">
        <v>11</v>
      </c>
      <c r="B12" s="4">
        <v>5.19053876478318</v>
      </c>
      <c r="C12" s="2" t="s">
        <v>299</v>
      </c>
      <c r="D12" s="2" t="s">
        <v>171</v>
      </c>
      <c r="E12" s="2" t="s">
        <v>300</v>
      </c>
      <c r="F12" s="2" t="s">
        <v>301</v>
      </c>
      <c r="G12" s="2" t="s">
        <v>100</v>
      </c>
      <c r="H12" s="2" t="s">
        <v>302</v>
      </c>
      <c r="I12" s="2" t="s">
        <v>42</v>
      </c>
      <c r="J12" s="2" t="s">
        <v>43</v>
      </c>
      <c r="K12" s="2" t="s">
        <v>147</v>
      </c>
      <c r="L12" s="2" t="s">
        <v>45</v>
      </c>
      <c r="M12" s="2" t="s">
        <v>142</v>
      </c>
      <c r="N12" s="3">
        <v>-57.424289999999999</v>
      </c>
      <c r="O12">
        <v>-1</v>
      </c>
      <c r="P12" s="5">
        <f>(Tabela2[[#This Row],[lp]]-0.3)/($A$37+0.4)</f>
        <v>0.29395604395604397</v>
      </c>
      <c r="Q12">
        <f>LN(Tabela2[[#This Row],[Czas do awarii Ti]])</f>
        <v>1.6468375000334816</v>
      </c>
      <c r="R12">
        <f>LN(-LN(1-Tabela2[[#This Row],[Empiryczne prawdopodobieństwo awarii (Fi)]]))</f>
        <v>-1.0553293105580512</v>
      </c>
      <c r="S12">
        <v>1.022</v>
      </c>
      <c r="T12">
        <v>-2.6318000000000001</v>
      </c>
      <c r="U12">
        <f>Tabela2[[#This Row],[a]]</f>
        <v>1.022</v>
      </c>
      <c r="V12" s="5">
        <f>EXP(-Tabela2[[#This Row],[b]]/Tabela2[[#This Row],[a]])</f>
        <v>13.133244596971549</v>
      </c>
      <c r="W12" s="5">
        <f>1-EXP(-(('dane źródłowe'!$C$9/Tabela2[[#This Row],[η]])^Tabela2[[#This Row],[ß]]))</f>
        <v>0.31113507357990045</v>
      </c>
    </row>
    <row r="13" spans="1:26" x14ac:dyDescent="0.25">
      <c r="A13">
        <v>12</v>
      </c>
      <c r="B13" s="4">
        <v>5.978975032851511</v>
      </c>
      <c r="C13" s="2" t="s">
        <v>176</v>
      </c>
      <c r="D13" t="s">
        <v>177</v>
      </c>
      <c r="E13" t="s">
        <v>178</v>
      </c>
      <c r="F13" t="s">
        <v>179</v>
      </c>
      <c r="G13" s="2" t="s">
        <v>100</v>
      </c>
      <c r="H13" s="2" t="s">
        <v>180</v>
      </c>
      <c r="I13" s="2" t="s">
        <v>42</v>
      </c>
      <c r="J13" s="2" t="s">
        <v>43</v>
      </c>
      <c r="K13" s="12" t="s">
        <v>181</v>
      </c>
      <c r="L13" s="2" t="s">
        <v>45</v>
      </c>
      <c r="M13" s="2" t="s">
        <v>142</v>
      </c>
      <c r="N13" s="13">
        <v>-183.11</v>
      </c>
      <c r="O13" s="14">
        <v>-1</v>
      </c>
      <c r="P13" s="5">
        <f>(Tabela2[[#This Row],[lp]]-0.3)/($A$37+0.4)</f>
        <v>0.3214285714285714</v>
      </c>
      <c r="Q13">
        <f>LN(Tabela2[[#This Row],[Czas do awarii Ti]])</f>
        <v>1.7882491540833103</v>
      </c>
      <c r="R13">
        <f>LN(-LN(1-Tabela2[[#This Row],[Empiryczne prawdopodobieństwo awarii (Fi)]]))</f>
        <v>-0.94735442354642807</v>
      </c>
      <c r="S13">
        <v>1.022</v>
      </c>
      <c r="T13">
        <v>-2.6318000000000001</v>
      </c>
      <c r="U13">
        <f>Tabela2[[#This Row],[a]]</f>
        <v>1.022</v>
      </c>
      <c r="V13" s="5">
        <f>EXP(-Tabela2[[#This Row],[b]]/Tabela2[[#This Row],[a]])</f>
        <v>13.133244596971549</v>
      </c>
      <c r="W13" s="5">
        <f>1-EXP(-(('dane źródłowe'!$C$9/Tabela2[[#This Row],[η]])^Tabela2[[#This Row],[ß]]))</f>
        <v>0.31113507357990045</v>
      </c>
    </row>
    <row r="14" spans="1:26" x14ac:dyDescent="0.25">
      <c r="A14">
        <v>13</v>
      </c>
      <c r="B14" s="4">
        <v>6.2746386333771351</v>
      </c>
      <c r="C14" s="2" t="s">
        <v>283</v>
      </c>
      <c r="D14" s="2" t="s">
        <v>284</v>
      </c>
      <c r="E14" s="2" t="s">
        <v>285</v>
      </c>
      <c r="F14" s="2" t="s">
        <v>286</v>
      </c>
      <c r="G14" s="2" t="s">
        <v>40</v>
      </c>
      <c r="H14" s="2" t="s">
        <v>287</v>
      </c>
      <c r="I14" s="2" t="s">
        <v>42</v>
      </c>
      <c r="J14" s="2" t="s">
        <v>43</v>
      </c>
      <c r="K14" s="2" t="s">
        <v>288</v>
      </c>
      <c r="L14" s="2" t="s">
        <v>45</v>
      </c>
      <c r="M14" s="2" t="s">
        <v>142</v>
      </c>
      <c r="N14" s="3">
        <v>-73.482560000000007</v>
      </c>
      <c r="O14">
        <v>-1</v>
      </c>
      <c r="P14" s="5">
        <f>(Tabela2[[#This Row],[lp]]-0.3)/($A$37+0.4)</f>
        <v>0.34890109890109888</v>
      </c>
      <c r="Q14">
        <f>LN(Tabela2[[#This Row],[Czas do awarii Ti]])</f>
        <v>1.8365158950531448</v>
      </c>
      <c r="R14">
        <f>LN(-LN(1-Tabela2[[#This Row],[Empiryczne prawdopodobieństwo awarii (Fi)]]))</f>
        <v>-0.84607990722294912</v>
      </c>
      <c r="S14">
        <v>1.022</v>
      </c>
      <c r="T14">
        <v>-2.6318000000000001</v>
      </c>
      <c r="U14">
        <f>Tabela2[[#This Row],[a]]</f>
        <v>1.022</v>
      </c>
      <c r="V14" s="5">
        <f>EXP(-Tabela2[[#This Row],[b]]/Tabela2[[#This Row],[a]])</f>
        <v>13.133244596971549</v>
      </c>
      <c r="W14" s="5">
        <f>1-EXP(-(('dane źródłowe'!$C$9/Tabela2[[#This Row],[η]])^Tabela2[[#This Row],[ß]]))</f>
        <v>0.31113507357990045</v>
      </c>
    </row>
    <row r="15" spans="1:26" x14ac:dyDescent="0.25">
      <c r="A15">
        <v>14</v>
      </c>
      <c r="B15" s="4">
        <v>6.7017082785808144</v>
      </c>
      <c r="C15" s="2" t="s">
        <v>182</v>
      </c>
      <c r="D15" t="s">
        <v>183</v>
      </c>
      <c r="E15" t="s">
        <v>184</v>
      </c>
      <c r="F15" t="s">
        <v>185</v>
      </c>
      <c r="G15" s="2" t="s">
        <v>40</v>
      </c>
      <c r="H15" s="2" t="s">
        <v>186</v>
      </c>
      <c r="I15" s="2" t="s">
        <v>42</v>
      </c>
      <c r="J15" s="2" t="s">
        <v>43</v>
      </c>
      <c r="K15" s="12" t="s">
        <v>165</v>
      </c>
      <c r="L15" s="2" t="s">
        <v>45</v>
      </c>
      <c r="M15" s="2" t="s">
        <v>142</v>
      </c>
      <c r="N15" s="13">
        <v>-82.27</v>
      </c>
      <c r="O15" s="14">
        <v>-1</v>
      </c>
      <c r="P15" s="5">
        <f>(Tabela2[[#This Row],[lp]]-0.3)/($A$37+0.4)</f>
        <v>0.37637362637362637</v>
      </c>
      <c r="Q15">
        <f>LN(Tabela2[[#This Row],[Czas do awarii Ti]])</f>
        <v>1.9023624608507312</v>
      </c>
      <c r="R15">
        <f>LN(-LN(1-Tabela2[[#This Row],[Empiryczne prawdopodobieństwo awarii (Fi)]]))</f>
        <v>-0.75034450071013647</v>
      </c>
      <c r="S15">
        <v>1.022</v>
      </c>
      <c r="T15">
        <v>-2.6318000000000001</v>
      </c>
      <c r="U15">
        <f>Tabela2[[#This Row],[a]]</f>
        <v>1.022</v>
      </c>
      <c r="V15" s="5">
        <f>EXP(-Tabela2[[#This Row],[b]]/Tabela2[[#This Row],[a]])</f>
        <v>13.133244596971549</v>
      </c>
      <c r="W15" s="5">
        <f>1-EXP(-(('dane źródłowe'!$C$9/Tabela2[[#This Row],[η]])^Tabela2[[#This Row],[ß]]))</f>
        <v>0.31113507357990045</v>
      </c>
    </row>
    <row r="16" spans="1:26" x14ac:dyDescent="0.25">
      <c r="A16">
        <v>15</v>
      </c>
      <c r="B16" s="4">
        <v>7.1287779237844937</v>
      </c>
      <c r="C16" s="2" t="s">
        <v>154</v>
      </c>
      <c r="D16" t="s">
        <v>155</v>
      </c>
      <c r="E16" t="s">
        <v>156</v>
      </c>
      <c r="F16" t="s">
        <v>157</v>
      </c>
      <c r="G16" s="2" t="s">
        <v>70</v>
      </c>
      <c r="H16" s="2" t="s">
        <v>158</v>
      </c>
      <c r="I16" s="2" t="s">
        <v>42</v>
      </c>
      <c r="J16" s="2" t="s">
        <v>43</v>
      </c>
      <c r="K16" s="12" t="s">
        <v>153</v>
      </c>
      <c r="L16" s="2" t="s">
        <v>45</v>
      </c>
      <c r="M16" s="2" t="s">
        <v>142</v>
      </c>
      <c r="N16" s="13">
        <v>-35.388179999999998</v>
      </c>
      <c r="O16" s="14">
        <v>-1</v>
      </c>
      <c r="P16" s="5">
        <f>(Tabela2[[#This Row],[lp]]-0.3)/($A$37+0.4)</f>
        <v>0.40384615384615385</v>
      </c>
      <c r="Q16">
        <f>LN(Tabela2[[#This Row],[Czas do awarii Ti]])</f>
        <v>1.9641398205469744</v>
      </c>
      <c r="R16">
        <f>LN(-LN(1-Tabela2[[#This Row],[Empiryczne prawdopodobieństwo awarii (Fi)]]))</f>
        <v>-0.65921636872620304</v>
      </c>
      <c r="S16">
        <v>1.022</v>
      </c>
      <c r="T16">
        <v>-2.6318000000000001</v>
      </c>
      <c r="U16">
        <f>Tabela2[[#This Row],[a]]</f>
        <v>1.022</v>
      </c>
      <c r="V16" s="5">
        <f>EXP(-Tabela2[[#This Row],[b]]/Tabela2[[#This Row],[a]])</f>
        <v>13.133244596971549</v>
      </c>
      <c r="W16" s="5">
        <f>1-EXP(-(('dane źródłowe'!$C$9/Tabela2[[#This Row],[η]])^Tabela2[[#This Row],[ß]]))</f>
        <v>0.31113507357990045</v>
      </c>
    </row>
    <row r="17" spans="1:23" x14ac:dyDescent="0.25">
      <c r="A17">
        <v>16</v>
      </c>
      <c r="B17" s="4">
        <v>8.2457293035479626</v>
      </c>
      <c r="C17" s="2" t="s">
        <v>202</v>
      </c>
      <c r="D17" t="s">
        <v>203</v>
      </c>
      <c r="E17" t="s">
        <v>204</v>
      </c>
      <c r="F17" t="s">
        <v>205</v>
      </c>
      <c r="G17" s="2" t="s">
        <v>206</v>
      </c>
      <c r="H17" s="2" t="s">
        <v>207</v>
      </c>
      <c r="I17" s="2" t="s">
        <v>42</v>
      </c>
      <c r="J17" s="2" t="s">
        <v>43</v>
      </c>
      <c r="K17" s="12" t="s">
        <v>208</v>
      </c>
      <c r="L17" s="2" t="s">
        <v>45</v>
      </c>
      <c r="M17" s="2" t="s">
        <v>142</v>
      </c>
      <c r="N17" s="13">
        <v>-62.69</v>
      </c>
      <c r="O17" s="14">
        <v>-1</v>
      </c>
      <c r="P17" s="5">
        <f>(Tabela2[[#This Row],[lp]]-0.3)/($A$37+0.4)</f>
        <v>0.43131868131868134</v>
      </c>
      <c r="Q17">
        <f>LN(Tabela2[[#This Row],[Czas do awarii Ti]])</f>
        <v>2.1096954061382989</v>
      </c>
      <c r="R17">
        <f>LN(-LN(1-Tabela2[[#This Row],[Empiryczne prawdopodobieństwo awarii (Fi)]]))</f>
        <v>-0.57192991640677959</v>
      </c>
      <c r="S17">
        <v>1.022</v>
      </c>
      <c r="T17">
        <v>-2.6318000000000001</v>
      </c>
      <c r="U17">
        <f>Tabela2[[#This Row],[a]]</f>
        <v>1.022</v>
      </c>
      <c r="V17" s="5">
        <f>EXP(-Tabela2[[#This Row],[b]]/Tabela2[[#This Row],[a]])</f>
        <v>13.133244596971549</v>
      </c>
      <c r="W17" s="5">
        <f>1-EXP(-(('dane źródłowe'!$C$9/Tabela2[[#This Row],[η]])^Tabela2[[#This Row],[ß]]))</f>
        <v>0.31113507357990045</v>
      </c>
    </row>
    <row r="18" spans="1:23" x14ac:dyDescent="0.25">
      <c r="A18">
        <v>17</v>
      </c>
      <c r="B18" s="4">
        <v>9.5597897503285143</v>
      </c>
      <c r="C18" s="2" t="s">
        <v>227</v>
      </c>
      <c r="D18" s="2" t="s">
        <v>228</v>
      </c>
      <c r="E18" s="2" t="s">
        <v>229</v>
      </c>
      <c r="F18" s="2" t="s">
        <v>230</v>
      </c>
      <c r="G18" s="2" t="s">
        <v>85</v>
      </c>
      <c r="H18" s="2" t="s">
        <v>231</v>
      </c>
      <c r="I18" s="2" t="s">
        <v>42</v>
      </c>
      <c r="J18" s="2" t="s">
        <v>43</v>
      </c>
      <c r="K18" s="2" t="s">
        <v>232</v>
      </c>
      <c r="L18" s="2" t="s">
        <v>45</v>
      </c>
      <c r="M18" s="2" t="s">
        <v>142</v>
      </c>
      <c r="N18" s="3">
        <v>-128.83857</v>
      </c>
      <c r="O18">
        <v>-3</v>
      </c>
      <c r="P18" s="5">
        <f>(Tabela2[[#This Row],[lp]]-0.3)/($A$37+0.4)</f>
        <v>0.45879120879120877</v>
      </c>
      <c r="Q18">
        <f>LN(Tabela2[[#This Row],[Czas do awarii Ti]])</f>
        <v>2.2575657341780073</v>
      </c>
      <c r="R18">
        <f>LN(-LN(1-Tabela2[[#This Row],[Empiryczne prawdopodobieństwo awarii (Fi)]]))</f>
        <v>-0.48784156113775179</v>
      </c>
      <c r="S18">
        <v>1.022</v>
      </c>
      <c r="T18">
        <v>-2.6318000000000001</v>
      </c>
      <c r="U18">
        <f>Tabela2[[#This Row],[a]]</f>
        <v>1.022</v>
      </c>
      <c r="V18" s="5">
        <f>EXP(-Tabela2[[#This Row],[b]]/Tabela2[[#This Row],[a]])</f>
        <v>13.133244596971549</v>
      </c>
      <c r="W18" s="5">
        <f>1-EXP(-(('dane źródłowe'!$C$9/Tabela2[[#This Row],[η]])^Tabela2[[#This Row],[ß]]))</f>
        <v>0.31113507357990045</v>
      </c>
    </row>
    <row r="19" spans="1:23" x14ac:dyDescent="0.25">
      <c r="A19">
        <v>18</v>
      </c>
      <c r="B19" s="4">
        <v>11.990801576872535</v>
      </c>
      <c r="C19" s="2" t="s">
        <v>154</v>
      </c>
      <c r="D19" t="s">
        <v>155</v>
      </c>
      <c r="E19" t="s">
        <v>156</v>
      </c>
      <c r="F19" t="s">
        <v>157</v>
      </c>
      <c r="G19" s="2" t="s">
        <v>70</v>
      </c>
      <c r="H19" s="2" t="s">
        <v>158</v>
      </c>
      <c r="I19" s="2" t="s">
        <v>42</v>
      </c>
      <c r="J19" s="2" t="s">
        <v>43</v>
      </c>
      <c r="K19" s="12" t="s">
        <v>159</v>
      </c>
      <c r="L19" s="2" t="s">
        <v>45</v>
      </c>
      <c r="M19" s="2" t="s">
        <v>142</v>
      </c>
      <c r="N19" s="13">
        <v>-57.73</v>
      </c>
      <c r="O19" s="14">
        <v>-1</v>
      </c>
      <c r="P19" s="5">
        <f>(Tabela2[[#This Row],[lp]]-0.3)/($A$37+0.4)</f>
        <v>0.48626373626373626</v>
      </c>
      <c r="Q19">
        <f>LN(Tabela2[[#This Row],[Czas do awarii Ti]])</f>
        <v>2.4841398205890064</v>
      </c>
      <c r="R19">
        <f>LN(-LN(1-Tabela2[[#This Row],[Empiryczne prawdopodobieństwo awarii (Fi)]]))</f>
        <v>-0.40639766663249632</v>
      </c>
      <c r="S19">
        <v>1.022</v>
      </c>
      <c r="T19">
        <v>-2.6318000000000001</v>
      </c>
      <c r="U19">
        <f>Tabela2[[#This Row],[a]]</f>
        <v>1.022</v>
      </c>
      <c r="V19" s="5">
        <f>EXP(-Tabela2[[#This Row],[b]]/Tabela2[[#This Row],[a]])</f>
        <v>13.133244596971549</v>
      </c>
      <c r="W19" s="5">
        <f>1-EXP(-(('dane źródłowe'!$C$9/Tabela2[[#This Row],[η]])^Tabela2[[#This Row],[ß]]))</f>
        <v>0.31113507357990045</v>
      </c>
    </row>
    <row r="20" spans="1:23" x14ac:dyDescent="0.25">
      <c r="A20">
        <v>19</v>
      </c>
      <c r="B20" s="4">
        <v>12.582128777923783</v>
      </c>
      <c r="C20" s="2" t="s">
        <v>269</v>
      </c>
      <c r="D20" s="2" t="s">
        <v>270</v>
      </c>
      <c r="E20" s="2" t="s">
        <v>271</v>
      </c>
      <c r="F20" s="2" t="s">
        <v>272</v>
      </c>
      <c r="G20" s="2" t="s">
        <v>40</v>
      </c>
      <c r="H20" s="2" t="s">
        <v>273</v>
      </c>
      <c r="I20" s="2" t="s">
        <v>42</v>
      </c>
      <c r="J20" s="2" t="s">
        <v>43</v>
      </c>
      <c r="K20" s="2" t="s">
        <v>165</v>
      </c>
      <c r="L20" s="2" t="s">
        <v>45</v>
      </c>
      <c r="M20" s="2" t="s">
        <v>142</v>
      </c>
      <c r="N20" s="3">
        <v>-45.97833</v>
      </c>
      <c r="O20">
        <v>-1</v>
      </c>
      <c r="P20" s="5">
        <f>(Tabela2[[#This Row],[lp]]-0.3)/($A$37+0.4)</f>
        <v>0.51373626373626369</v>
      </c>
      <c r="Q20">
        <f>LN(Tabela2[[#This Row],[Czas do awarii Ti]])</f>
        <v>2.5322774561871606</v>
      </c>
      <c r="R20">
        <f>LN(-LN(1-Tabela2[[#This Row],[Empiryczne prawdopodobieństwo awarii (Fi)]]))</f>
        <v>-0.32711040653622575</v>
      </c>
      <c r="S20">
        <v>1.022</v>
      </c>
      <c r="T20">
        <v>-2.6318000000000001</v>
      </c>
      <c r="U20">
        <f>Tabela2[[#This Row],[a]]</f>
        <v>1.022</v>
      </c>
      <c r="V20" s="5">
        <f>EXP(-Tabela2[[#This Row],[b]]/Tabela2[[#This Row],[a]])</f>
        <v>13.133244596971549</v>
      </c>
      <c r="W20" s="5">
        <f>1-EXP(-(('dane źródłowe'!$C$9/Tabela2[[#This Row],[η]])^Tabela2[[#This Row],[ß]]))</f>
        <v>0.31113507357990045</v>
      </c>
    </row>
    <row r="21" spans="1:23" x14ac:dyDescent="0.25">
      <c r="A21">
        <v>20</v>
      </c>
      <c r="B21" s="4">
        <v>12.647831800262811</v>
      </c>
      <c r="C21" s="2" t="s">
        <v>166</v>
      </c>
      <c r="D21" t="s">
        <v>155</v>
      </c>
      <c r="E21" t="s">
        <v>167</v>
      </c>
      <c r="F21" t="s">
        <v>168</v>
      </c>
      <c r="G21" s="2" t="s">
        <v>100</v>
      </c>
      <c r="H21" s="2" t="s">
        <v>169</v>
      </c>
      <c r="I21" s="2" t="s">
        <v>42</v>
      </c>
      <c r="J21" s="2" t="s">
        <v>43</v>
      </c>
      <c r="K21" s="12" t="s">
        <v>147</v>
      </c>
      <c r="L21" s="2" t="s">
        <v>45</v>
      </c>
      <c r="M21" s="2" t="s">
        <v>142</v>
      </c>
      <c r="N21" s="13">
        <v>-55.137270000000001</v>
      </c>
      <c r="O21" s="14">
        <v>-1</v>
      </c>
      <c r="P21" s="5">
        <f>(Tabela2[[#This Row],[lp]]-0.3)/($A$37+0.4)</f>
        <v>0.54120879120879117</v>
      </c>
      <c r="Q21">
        <f>LN(Tabela2[[#This Row],[Czas do awarii Ti]])</f>
        <v>2.5374858012942991</v>
      </c>
      <c r="R21">
        <f>LN(-LN(1-Tabela2[[#This Row],[Empiryczne prawdopodobieństwo awarii (Fi)]]))</f>
        <v>-0.24953879180256794</v>
      </c>
      <c r="S21">
        <v>1.022</v>
      </c>
      <c r="T21">
        <v>-2.6318000000000001</v>
      </c>
      <c r="U21">
        <f>Tabela2[[#This Row],[a]]</f>
        <v>1.022</v>
      </c>
      <c r="V21" s="5">
        <f>EXP(-Tabela2[[#This Row],[b]]/Tabela2[[#This Row],[a]])</f>
        <v>13.133244596971549</v>
      </c>
      <c r="W21" s="5">
        <f>1-EXP(-(('dane źródłowe'!$C$9/Tabela2[[#This Row],[η]])^Tabela2[[#This Row],[ß]]))</f>
        <v>0.31113507357990045</v>
      </c>
    </row>
    <row r="22" spans="1:23" x14ac:dyDescent="0.25">
      <c r="A22">
        <v>21</v>
      </c>
      <c r="B22" s="4">
        <v>13.009198423127463</v>
      </c>
      <c r="C22" s="2" t="s">
        <v>160</v>
      </c>
      <c r="D22" t="s">
        <v>161</v>
      </c>
      <c r="E22" t="s">
        <v>162</v>
      </c>
      <c r="F22" t="s">
        <v>163</v>
      </c>
      <c r="G22" s="2" t="s">
        <v>40</v>
      </c>
      <c r="H22" s="2" t="s">
        <v>164</v>
      </c>
      <c r="I22" s="2" t="s">
        <v>42</v>
      </c>
      <c r="J22" s="2" t="s">
        <v>43</v>
      </c>
      <c r="K22" s="12" t="s">
        <v>165</v>
      </c>
      <c r="L22" s="2" t="s">
        <v>45</v>
      </c>
      <c r="M22" s="2" t="s">
        <v>142</v>
      </c>
      <c r="N22" s="13">
        <v>-49.1</v>
      </c>
      <c r="O22" s="14">
        <v>-1</v>
      </c>
      <c r="P22" s="5">
        <f>(Tabela2[[#This Row],[lp]]-0.3)/($A$37+0.4)</f>
        <v>0.56868131868131866</v>
      </c>
      <c r="Q22">
        <f>LN(Tabela2[[#This Row],[Czas do awarii Ti]])</f>
        <v>2.5656566782609955</v>
      </c>
      <c r="R22">
        <f>LN(-LN(1-Tabela2[[#This Row],[Empiryczne prawdopodobieństwo awarii (Fi)]]))</f>
        <v>-0.1732729444993516</v>
      </c>
      <c r="S22">
        <v>1.022</v>
      </c>
      <c r="T22">
        <v>-2.6318000000000001</v>
      </c>
      <c r="U22">
        <f>Tabela2[[#This Row],[a]]</f>
        <v>1.022</v>
      </c>
      <c r="V22" s="5">
        <f>EXP(-Tabela2[[#This Row],[b]]/Tabela2[[#This Row],[a]])</f>
        <v>13.133244596971549</v>
      </c>
      <c r="W22" s="5">
        <f>1-EXP(-(('dane źródłowe'!$C$9/Tabela2[[#This Row],[η]])^Tabela2[[#This Row],[ß]]))</f>
        <v>0.31113507357990045</v>
      </c>
    </row>
    <row r="23" spans="1:23" x14ac:dyDescent="0.25">
      <c r="A23">
        <v>22</v>
      </c>
      <c r="B23" s="4">
        <v>13.074901445466491</v>
      </c>
      <c r="C23" s="2" t="s">
        <v>136</v>
      </c>
      <c r="D23" t="s">
        <v>137</v>
      </c>
      <c r="E23" t="s">
        <v>138</v>
      </c>
      <c r="F23" t="s">
        <v>139</v>
      </c>
      <c r="G23" s="2" t="s">
        <v>40</v>
      </c>
      <c r="H23" s="2" t="s">
        <v>140</v>
      </c>
      <c r="I23" s="2" t="s">
        <v>42</v>
      </c>
      <c r="J23" s="2" t="s">
        <v>43</v>
      </c>
      <c r="K23" s="12" t="s">
        <v>141</v>
      </c>
      <c r="L23" s="2" t="s">
        <v>45</v>
      </c>
      <c r="M23" s="2" t="s">
        <v>142</v>
      </c>
      <c r="N23" s="13">
        <v>-150</v>
      </c>
      <c r="O23" s="14">
        <v>-1</v>
      </c>
      <c r="P23" s="5">
        <f>(Tabela2[[#This Row],[lp]]-0.3)/($A$37+0.4)</f>
        <v>0.59615384615384615</v>
      </c>
      <c r="Q23">
        <f>LN(Tabela2[[#This Row],[Czas do awarii Ti]])</f>
        <v>2.5706944722909526</v>
      </c>
      <c r="R23">
        <f>LN(-LN(1-Tabela2[[#This Row],[Empiryczne prawdopodobieństwo awarii (Fi)]]))</f>
        <v>-9.79201739338873E-2</v>
      </c>
      <c r="S23">
        <v>1.022</v>
      </c>
      <c r="T23">
        <v>-2.6318000000000001</v>
      </c>
      <c r="U23">
        <f>Tabela2[[#This Row],[a]]</f>
        <v>1.022</v>
      </c>
      <c r="V23" s="5">
        <f>EXP(-Tabela2[[#This Row],[b]]/Tabela2[[#This Row],[a]])</f>
        <v>13.133244596971549</v>
      </c>
      <c r="W23" s="5">
        <f>1-EXP(-(('dane źródłowe'!$C$9/Tabela2[[#This Row],[η]])^Tabela2[[#This Row],[ß]]))</f>
        <v>0.31113507357990045</v>
      </c>
    </row>
    <row r="24" spans="1:23" x14ac:dyDescent="0.25">
      <c r="A24">
        <v>23</v>
      </c>
      <c r="B24" s="4">
        <v>14.586070959264125</v>
      </c>
      <c r="C24" s="2" t="s">
        <v>249</v>
      </c>
      <c r="D24" s="2" t="s">
        <v>250</v>
      </c>
      <c r="E24" s="2" t="s">
        <v>251</v>
      </c>
      <c r="F24" s="2" t="s">
        <v>252</v>
      </c>
      <c r="G24" s="2" t="s">
        <v>100</v>
      </c>
      <c r="H24" s="2" t="s">
        <v>253</v>
      </c>
      <c r="I24" s="2" t="s">
        <v>42</v>
      </c>
      <c r="J24" s="2" t="s">
        <v>43</v>
      </c>
      <c r="K24" s="2" t="s">
        <v>147</v>
      </c>
      <c r="L24" s="2" t="s">
        <v>45</v>
      </c>
      <c r="M24" s="2" t="s">
        <v>142</v>
      </c>
      <c r="N24" s="3">
        <v>-53.522500000000001</v>
      </c>
      <c r="O24">
        <v>-1</v>
      </c>
      <c r="P24" s="5">
        <f>(Tabela2[[#This Row],[lp]]-0.3)/($A$37+0.4)</f>
        <v>0.62362637362637363</v>
      </c>
      <c r="Q24">
        <f>LN(Tabela2[[#This Row],[Czas do awarii Ti]])</f>
        <v>2.6800670294387396</v>
      </c>
      <c r="R24">
        <f>LN(-LN(1-Tabela2[[#This Row],[Empiryczne prawdopodobieństwo awarii (Fi)]]))</f>
        <v>-2.3091629494177084E-2</v>
      </c>
      <c r="S24">
        <v>1.022</v>
      </c>
      <c r="T24">
        <v>-2.6318000000000001</v>
      </c>
      <c r="U24">
        <f>Tabela2[[#This Row],[a]]</f>
        <v>1.022</v>
      </c>
      <c r="V24" s="5">
        <f>EXP(-Tabela2[[#This Row],[b]]/Tabela2[[#This Row],[a]])</f>
        <v>13.133244596971549</v>
      </c>
      <c r="W24" s="5">
        <f>1-EXP(-(('dane źródłowe'!$C$9/Tabela2[[#This Row],[η]])^Tabela2[[#This Row],[ß]]))</f>
        <v>0.31113507357990045</v>
      </c>
    </row>
    <row r="25" spans="1:23" x14ac:dyDescent="0.25">
      <c r="A25">
        <v>24</v>
      </c>
      <c r="B25" s="4">
        <v>15.144546649145861</v>
      </c>
      <c r="C25" s="2" t="s">
        <v>233</v>
      </c>
      <c r="D25" s="2" t="s">
        <v>234</v>
      </c>
      <c r="E25" s="2" t="s">
        <v>235</v>
      </c>
      <c r="F25" s="2" t="s">
        <v>236</v>
      </c>
      <c r="G25" s="2" t="s">
        <v>70</v>
      </c>
      <c r="H25" s="2" t="s">
        <v>237</v>
      </c>
      <c r="I25" s="2" t="s">
        <v>42</v>
      </c>
      <c r="J25" s="2" t="s">
        <v>43</v>
      </c>
      <c r="K25" s="2" t="s">
        <v>159</v>
      </c>
      <c r="L25" s="2" t="s">
        <v>45</v>
      </c>
      <c r="M25" s="2" t="s">
        <v>142</v>
      </c>
      <c r="N25" s="3">
        <v>-114.6075</v>
      </c>
      <c r="O25">
        <v>-1</v>
      </c>
      <c r="P25" s="5">
        <f>(Tabela2[[#This Row],[lp]]-0.3)/($A$37+0.4)</f>
        <v>0.65109890109890112</v>
      </c>
      <c r="Q25">
        <f>LN(Tabela2[[#This Row],[Czas do awarii Ti]])</f>
        <v>2.7176405100031635</v>
      </c>
      <c r="R25">
        <f>LN(-LN(1-Tabela2[[#This Row],[Empiryczne prawdopodobieństwo awarii (Fi)]]))</f>
        <v>5.1611685814862106E-2</v>
      </c>
      <c r="S25">
        <v>1.022</v>
      </c>
      <c r="T25">
        <v>-2.6318000000000001</v>
      </c>
      <c r="U25">
        <f>Tabela2[[#This Row],[a]]</f>
        <v>1.022</v>
      </c>
      <c r="V25" s="5">
        <f>EXP(-Tabela2[[#This Row],[b]]/Tabela2[[#This Row],[a]])</f>
        <v>13.133244596971549</v>
      </c>
      <c r="W25" s="5">
        <f>1-EXP(-(('dane źródłowe'!$C$9/Tabela2[[#This Row],[η]])^Tabela2[[#This Row],[ß]]))</f>
        <v>0.31113507357990045</v>
      </c>
    </row>
    <row r="26" spans="1:23" x14ac:dyDescent="0.25">
      <c r="A26">
        <v>25</v>
      </c>
      <c r="B26" s="4">
        <v>15.900131406044677</v>
      </c>
      <c r="C26" s="2" t="s">
        <v>254</v>
      </c>
      <c r="D26" s="2" t="s">
        <v>255</v>
      </c>
      <c r="E26" s="2" t="s">
        <v>256</v>
      </c>
      <c r="F26" s="2" t="s">
        <v>257</v>
      </c>
      <c r="G26" s="2" t="s">
        <v>100</v>
      </c>
      <c r="H26" s="2" t="s">
        <v>258</v>
      </c>
      <c r="I26" s="2" t="s">
        <v>42</v>
      </c>
      <c r="J26" s="2" t="s">
        <v>43</v>
      </c>
      <c r="K26" s="2" t="s">
        <v>147</v>
      </c>
      <c r="L26" s="2" t="s">
        <v>45</v>
      </c>
      <c r="M26" s="2" t="s">
        <v>142</v>
      </c>
      <c r="N26" s="3">
        <v>-40.932000000000002</v>
      </c>
      <c r="O26">
        <v>-1</v>
      </c>
      <c r="P26" s="5">
        <f>(Tabela2[[#This Row],[lp]]-0.3)/($A$37+0.4)</f>
        <v>0.6785714285714286</v>
      </c>
      <c r="Q26">
        <f>LN(Tabela2[[#This Row],[Czas do awarii Ti]])</f>
        <v>2.7663273737231466</v>
      </c>
      <c r="R26">
        <f>LN(-LN(1-Tabela2[[#This Row],[Empiryczne prawdopodobieństwo awarii (Fi)]]))</f>
        <v>0.12661497045899217</v>
      </c>
      <c r="S26">
        <v>1.022</v>
      </c>
      <c r="T26">
        <v>-2.6318000000000001</v>
      </c>
      <c r="U26">
        <f>Tabela2[[#This Row],[a]]</f>
        <v>1.022</v>
      </c>
      <c r="V26" s="5">
        <f>EXP(-Tabela2[[#This Row],[b]]/Tabela2[[#This Row],[a]])</f>
        <v>13.133244596971549</v>
      </c>
      <c r="W26" s="5">
        <f>1-EXP(-(('dane źródłowe'!$C$9/Tabela2[[#This Row],[η]])^Tabela2[[#This Row],[ß]]))</f>
        <v>0.31113507357990045</v>
      </c>
    </row>
    <row r="27" spans="1:23" x14ac:dyDescent="0.25">
      <c r="A27">
        <v>26</v>
      </c>
      <c r="B27" s="4">
        <v>16.1957950065703</v>
      </c>
      <c r="C27" s="2" t="s">
        <v>192</v>
      </c>
      <c r="D27" s="2" t="s">
        <v>193</v>
      </c>
      <c r="E27" s="2" t="s">
        <v>194</v>
      </c>
      <c r="F27" s="2" t="s">
        <v>195</v>
      </c>
      <c r="G27" s="2" t="s">
        <v>85</v>
      </c>
      <c r="H27" s="2" t="s">
        <v>196</v>
      </c>
      <c r="I27" s="2" t="s">
        <v>42</v>
      </c>
      <c r="J27" s="2" t="s">
        <v>43</v>
      </c>
      <c r="K27" s="2" t="s">
        <v>147</v>
      </c>
      <c r="L27" s="2" t="s">
        <v>45</v>
      </c>
      <c r="M27" s="2" t="s">
        <v>142</v>
      </c>
      <c r="N27" s="3">
        <v>-56.253999999999998</v>
      </c>
      <c r="O27">
        <v>-1</v>
      </c>
      <c r="P27" s="5">
        <f>(Tabela2[[#This Row],[lp]]-0.3)/($A$37+0.4)</f>
        <v>0.70604395604395609</v>
      </c>
      <c r="Q27">
        <f>LN(Tabela2[[#This Row],[Czas do awarii Ti]])</f>
        <v>2.7847516410492048</v>
      </c>
      <c r="R27">
        <f>LN(-LN(1-Tabela2[[#This Row],[Empiryczne prawdopodobieństwo awarii (Fi)]]))</f>
        <v>0.20238969881741919</v>
      </c>
      <c r="S27">
        <v>1.022</v>
      </c>
      <c r="T27">
        <v>-2.6318000000000001</v>
      </c>
      <c r="U27">
        <f>Tabela2[[#This Row],[a]]</f>
        <v>1.022</v>
      </c>
      <c r="V27" s="5">
        <f>EXP(-Tabela2[[#This Row],[b]]/Tabela2[[#This Row],[a]])</f>
        <v>13.133244596971549</v>
      </c>
      <c r="W27" s="5">
        <f>1-EXP(-(('dane źródłowe'!$C$9/Tabela2[[#This Row],[η]])^Tabela2[[#This Row],[ß]]))</f>
        <v>0.31113507357990045</v>
      </c>
    </row>
    <row r="28" spans="1:23" x14ac:dyDescent="0.25">
      <c r="A28">
        <v>27</v>
      </c>
      <c r="B28" s="4">
        <v>17.148488830486201</v>
      </c>
      <c r="C28" s="2" t="s">
        <v>278</v>
      </c>
      <c r="D28" s="2" t="s">
        <v>279</v>
      </c>
      <c r="E28" s="2" t="s">
        <v>280</v>
      </c>
      <c r="F28" s="2" t="s">
        <v>281</v>
      </c>
      <c r="G28" s="2" t="s">
        <v>100</v>
      </c>
      <c r="H28" s="2" t="s">
        <v>282</v>
      </c>
      <c r="I28" s="2" t="s">
        <v>42</v>
      </c>
      <c r="J28" s="2" t="s">
        <v>43</v>
      </c>
      <c r="K28" s="2" t="s">
        <v>147</v>
      </c>
      <c r="L28" s="2" t="s">
        <v>45</v>
      </c>
      <c r="M28" s="2" t="s">
        <v>142</v>
      </c>
      <c r="N28" s="3">
        <v>-61.79</v>
      </c>
      <c r="O28">
        <v>-1</v>
      </c>
      <c r="P28" s="5">
        <f>(Tabela2[[#This Row],[lp]]-0.3)/($A$37+0.4)</f>
        <v>0.73351648351648358</v>
      </c>
      <c r="Q28">
        <f>LN(Tabela2[[#This Row],[Czas do awarii Ti]])</f>
        <v>2.8419100548891536</v>
      </c>
      <c r="R28">
        <f>LN(-LN(1-Tabela2[[#This Row],[Empiryczne prawdopodobieństwo awarii (Fi)]]))</f>
        <v>0.27948069979771573</v>
      </c>
      <c r="S28">
        <v>1.022</v>
      </c>
      <c r="T28">
        <v>-2.6318000000000001</v>
      </c>
      <c r="U28">
        <f>Tabela2[[#This Row],[a]]</f>
        <v>1.022</v>
      </c>
      <c r="V28" s="5">
        <f>EXP(-Tabela2[[#This Row],[b]]/Tabela2[[#This Row],[a]])</f>
        <v>13.133244596971549</v>
      </c>
      <c r="W28" s="5">
        <f>1-EXP(-(('dane źródłowe'!$C$9/Tabela2[[#This Row],[η]])^Tabela2[[#This Row],[ß]]))</f>
        <v>0.31113507357990045</v>
      </c>
    </row>
    <row r="29" spans="1:23" x14ac:dyDescent="0.25">
      <c r="A29">
        <v>28</v>
      </c>
      <c r="B29" s="4">
        <v>18.068331143232587</v>
      </c>
      <c r="C29" s="2" t="s">
        <v>213</v>
      </c>
      <c r="D29" s="2" t="s">
        <v>214</v>
      </c>
      <c r="E29" s="2" t="s">
        <v>215</v>
      </c>
      <c r="F29" s="2" t="s">
        <v>216</v>
      </c>
      <c r="G29" s="2" t="s">
        <v>206</v>
      </c>
      <c r="H29" s="2" t="s">
        <v>217</v>
      </c>
      <c r="I29" s="2" t="s">
        <v>42</v>
      </c>
      <c r="J29" s="2" t="s">
        <v>43</v>
      </c>
      <c r="K29" s="2" t="s">
        <v>208</v>
      </c>
      <c r="L29" s="2" t="s">
        <v>45</v>
      </c>
      <c r="M29" s="2" t="s">
        <v>142</v>
      </c>
      <c r="N29" s="3">
        <v>-86.664000000000001</v>
      </c>
      <c r="O29">
        <v>-1</v>
      </c>
      <c r="P29" s="5">
        <f>(Tabela2[[#This Row],[lp]]-0.3)/($A$37+0.4)</f>
        <v>0.76098901098901095</v>
      </c>
      <c r="Q29">
        <f>LN(Tabela2[[#This Row],[Czas do awarii Ti]])</f>
        <v>2.8941607452330316</v>
      </c>
      <c r="R29">
        <f>LN(-LN(1-Tabela2[[#This Row],[Empiryczne prawdopodobieństwo awarii (Fi)]]))</f>
        <v>0.35854521817253066</v>
      </c>
      <c r="S29">
        <v>1.022</v>
      </c>
      <c r="T29">
        <v>-2.6318000000000001</v>
      </c>
      <c r="U29">
        <f>Tabela2[[#This Row],[a]]</f>
        <v>1.022</v>
      </c>
      <c r="V29" s="5">
        <f>EXP(-Tabela2[[#This Row],[b]]/Tabela2[[#This Row],[a]])</f>
        <v>13.133244596971549</v>
      </c>
      <c r="W29" s="5">
        <f>1-EXP(-(('dane źródłowe'!$C$9/Tabela2[[#This Row],[η]])^Tabela2[[#This Row],[ß]]))</f>
        <v>0.31113507357990045</v>
      </c>
    </row>
    <row r="30" spans="1:23" x14ac:dyDescent="0.25">
      <c r="A30">
        <v>29</v>
      </c>
      <c r="B30" s="4">
        <v>21.386333771353481</v>
      </c>
      <c r="C30" s="2" t="s">
        <v>170</v>
      </c>
      <c r="D30" s="2" t="s">
        <v>171</v>
      </c>
      <c r="E30" s="2" t="s">
        <v>172</v>
      </c>
      <c r="F30" s="2" t="s">
        <v>173</v>
      </c>
      <c r="G30" s="2" t="s">
        <v>70</v>
      </c>
      <c r="H30" s="2" t="s">
        <v>174</v>
      </c>
      <c r="I30" s="2" t="s">
        <v>42</v>
      </c>
      <c r="J30" s="2" t="s">
        <v>43</v>
      </c>
      <c r="K30" s="2" t="s">
        <v>175</v>
      </c>
      <c r="L30" s="2" t="s">
        <v>45</v>
      </c>
      <c r="M30" s="2" t="s">
        <v>142</v>
      </c>
      <c r="N30" s="3">
        <v>-358.92286000000001</v>
      </c>
      <c r="O30">
        <v>-1</v>
      </c>
      <c r="P30" s="5">
        <f>(Tabela2[[#This Row],[lp]]-0.3)/($A$37+0.4)</f>
        <v>0.78846153846153844</v>
      </c>
      <c r="Q30">
        <f>LN(Tabela2[[#This Row],[Czas do awarii Ti]])</f>
        <v>3.0627521092150842</v>
      </c>
      <c r="R30">
        <f>LN(-LN(1-Tabela2[[#This Row],[Empiryczne prawdopodobieństwo awarii (Fi)]]))</f>
        <v>0.44041288846700422</v>
      </c>
      <c r="S30">
        <v>1.022</v>
      </c>
      <c r="T30">
        <v>-2.6318000000000001</v>
      </c>
      <c r="U30">
        <f>Tabela2[[#This Row],[a]]</f>
        <v>1.022</v>
      </c>
      <c r="V30" s="5">
        <f>EXP(-Tabela2[[#This Row],[b]]/Tabela2[[#This Row],[a]])</f>
        <v>13.133244596971549</v>
      </c>
      <c r="W30" s="5">
        <f>1-EXP(-(('dane źródłowe'!$C$9/Tabela2[[#This Row],[η]])^Tabela2[[#This Row],[ß]]))</f>
        <v>0.31113507357990045</v>
      </c>
    </row>
    <row r="31" spans="1:23" x14ac:dyDescent="0.25">
      <c r="A31">
        <v>30</v>
      </c>
      <c r="B31" s="4">
        <v>21.911957950065702</v>
      </c>
      <c r="C31" s="2" t="s">
        <v>264</v>
      </c>
      <c r="D31" s="2" t="s">
        <v>265</v>
      </c>
      <c r="E31" s="2" t="s">
        <v>266</v>
      </c>
      <c r="F31" s="2" t="s">
        <v>267</v>
      </c>
      <c r="G31" s="2" t="s">
        <v>40</v>
      </c>
      <c r="H31" s="2" t="s">
        <v>268</v>
      </c>
      <c r="I31" s="2" t="s">
        <v>42</v>
      </c>
      <c r="J31" s="2" t="s">
        <v>43</v>
      </c>
      <c r="K31" s="2" t="s">
        <v>165</v>
      </c>
      <c r="L31" s="2" t="s">
        <v>45</v>
      </c>
      <c r="M31" s="2" t="s">
        <v>142</v>
      </c>
      <c r="N31" s="3">
        <v>-55.14</v>
      </c>
      <c r="O31">
        <v>-1</v>
      </c>
      <c r="P31" s="5">
        <f>(Tabela2[[#This Row],[lp]]-0.3)/($A$37+0.4)</f>
        <v>0.81593406593406592</v>
      </c>
      <c r="Q31">
        <f>LN(Tabela2[[#This Row],[Czas do awarii Ti]])</f>
        <v>3.0870325129221388</v>
      </c>
      <c r="R31">
        <f>LN(-LN(1-Tabela2[[#This Row],[Empiryczne prawdopodobieństwo awarii (Fi)]]))</f>
        <v>0.52618382938014796</v>
      </c>
      <c r="S31">
        <v>1.022</v>
      </c>
      <c r="T31">
        <v>-2.6318000000000001</v>
      </c>
      <c r="U31">
        <f>Tabela2[[#This Row],[a]]</f>
        <v>1.022</v>
      </c>
      <c r="V31" s="5">
        <f>EXP(-Tabela2[[#This Row],[b]]/Tabela2[[#This Row],[a]])</f>
        <v>13.133244596971549</v>
      </c>
      <c r="W31" s="5">
        <f>1-EXP(-(('dane źródłowe'!$C$9/Tabela2[[#This Row],[η]])^Tabela2[[#This Row],[ß]]))</f>
        <v>0.31113507357990045</v>
      </c>
    </row>
    <row r="32" spans="1:23" x14ac:dyDescent="0.25">
      <c r="A32">
        <v>31</v>
      </c>
      <c r="B32" s="4">
        <v>23.817345597897503</v>
      </c>
      <c r="C32" s="2" t="s">
        <v>238</v>
      </c>
      <c r="D32" s="2" t="s">
        <v>239</v>
      </c>
      <c r="E32" s="2" t="s">
        <v>240</v>
      </c>
      <c r="F32" s="2" t="s">
        <v>241</v>
      </c>
      <c r="G32" s="2" t="s">
        <v>100</v>
      </c>
      <c r="H32" s="2" t="s">
        <v>242</v>
      </c>
      <c r="I32" s="2" t="s">
        <v>42</v>
      </c>
      <c r="J32" s="2" t="s">
        <v>43</v>
      </c>
      <c r="K32" s="2" t="s">
        <v>147</v>
      </c>
      <c r="L32" s="2" t="s">
        <v>45</v>
      </c>
      <c r="M32" s="2" t="s">
        <v>142</v>
      </c>
      <c r="N32" s="3">
        <v>-91.82</v>
      </c>
      <c r="O32">
        <v>-1</v>
      </c>
      <c r="P32" s="5">
        <f>(Tabela2[[#This Row],[lp]]-0.3)/($A$37+0.4)</f>
        <v>0.84340659340659341</v>
      </c>
      <c r="Q32">
        <f>LN(Tabela2[[#This Row],[Czas do awarii Ti]])</f>
        <v>3.1704141218611896</v>
      </c>
      <c r="R32">
        <f>LN(-LN(1-Tabela2[[#This Row],[Empiryczne prawdopodobieństwo awarii (Fi)]]))</f>
        <v>0.61740080531161068</v>
      </c>
      <c r="S32">
        <v>1.022</v>
      </c>
      <c r="T32">
        <v>-2.6318000000000001</v>
      </c>
      <c r="U32">
        <f>Tabela2[[#This Row],[a]]</f>
        <v>1.022</v>
      </c>
      <c r="V32" s="5">
        <f>EXP(-Tabela2[[#This Row],[b]]/Tabela2[[#This Row],[a]])</f>
        <v>13.133244596971549</v>
      </c>
      <c r="W32" s="5">
        <f>1-EXP(-(('dane źródłowe'!$C$9/Tabela2[[#This Row],[η]])^Tabela2[[#This Row],[ß]]))</f>
        <v>0.31113507357990045</v>
      </c>
    </row>
    <row r="33" spans="1:23" x14ac:dyDescent="0.25">
      <c r="A33">
        <v>32</v>
      </c>
      <c r="B33" s="4">
        <v>23.915900131406044</v>
      </c>
      <c r="C33" s="2" t="s">
        <v>187</v>
      </c>
      <c r="D33" s="2" t="s">
        <v>188</v>
      </c>
      <c r="E33" s="2" t="s">
        <v>189</v>
      </c>
      <c r="F33" s="2" t="s">
        <v>190</v>
      </c>
      <c r="G33" s="2" t="s">
        <v>70</v>
      </c>
      <c r="H33" s="2" t="s">
        <v>191</v>
      </c>
      <c r="I33" s="2" t="s">
        <v>42</v>
      </c>
      <c r="J33" s="2" t="s">
        <v>43</v>
      </c>
      <c r="K33" s="2" t="s">
        <v>159</v>
      </c>
      <c r="L33" s="2" t="s">
        <v>45</v>
      </c>
      <c r="M33" s="2" t="s">
        <v>142</v>
      </c>
      <c r="N33" s="3">
        <v>-59.031669999999998</v>
      </c>
      <c r="O33">
        <v>-1</v>
      </c>
      <c r="P33" s="5">
        <f>(Tabela2[[#This Row],[lp]]-0.3)/($A$37+0.4)</f>
        <v>0.87087912087912089</v>
      </c>
      <c r="Q33">
        <f>LN(Tabela2[[#This Row],[Czas do awarii Ti]])</f>
        <v>3.1745435152032009</v>
      </c>
      <c r="R33">
        <f>LN(-LN(1-Tabela2[[#This Row],[Empiryczne prawdopodobieństwo awarii (Fi)]]))</f>
        <v>0.7163783677036234</v>
      </c>
      <c r="S33">
        <v>1.022</v>
      </c>
      <c r="T33">
        <v>-2.6318000000000001</v>
      </c>
      <c r="U33">
        <f>Tabela2[[#This Row],[a]]</f>
        <v>1.022</v>
      </c>
      <c r="V33" s="5">
        <f>EXP(-Tabela2[[#This Row],[b]]/Tabela2[[#This Row],[a]])</f>
        <v>13.133244596971549</v>
      </c>
      <c r="W33" s="5">
        <f>1-EXP(-(('dane źródłowe'!$C$9/Tabela2[[#This Row],[η]])^Tabela2[[#This Row],[ß]]))</f>
        <v>0.31113507357990045</v>
      </c>
    </row>
    <row r="34" spans="1:23" x14ac:dyDescent="0.25">
      <c r="A34">
        <v>33</v>
      </c>
      <c r="B34" s="4">
        <v>24.50722733245729</v>
      </c>
      <c r="C34" s="2" t="s">
        <v>148</v>
      </c>
      <c r="D34" s="2" t="s">
        <v>149</v>
      </c>
      <c r="E34" s="2" t="s">
        <v>150</v>
      </c>
      <c r="F34" s="2" t="s">
        <v>151</v>
      </c>
      <c r="G34" s="2" t="s">
        <v>85</v>
      </c>
      <c r="H34" s="2" t="s">
        <v>152</v>
      </c>
      <c r="I34" s="2" t="s">
        <v>42</v>
      </c>
      <c r="J34" s="2" t="s">
        <v>43</v>
      </c>
      <c r="K34" s="2" t="s">
        <v>153</v>
      </c>
      <c r="L34" s="2" t="s">
        <v>45</v>
      </c>
      <c r="M34" s="2" t="s">
        <v>142</v>
      </c>
      <c r="N34" s="3">
        <v>-43.56</v>
      </c>
      <c r="O34">
        <v>-1</v>
      </c>
      <c r="P34" s="5">
        <f>(Tabela2[[#This Row],[lp]]-0.3)/($A$37+0.4)</f>
        <v>0.89835164835164849</v>
      </c>
      <c r="Q34">
        <f>LN(Tabela2[[#This Row],[Czas do awarii Ti]])</f>
        <v>3.1989680672102758</v>
      </c>
      <c r="R34">
        <f>LN(-LN(1-Tabela2[[#This Row],[Empiryczne prawdopodobieństwo awarii (Fi)]]))</f>
        <v>0.82690677745311947</v>
      </c>
      <c r="S34">
        <v>1.022</v>
      </c>
      <c r="T34">
        <v>-2.6318000000000001</v>
      </c>
      <c r="U34">
        <f>Tabela2[[#This Row],[a]]</f>
        <v>1.022</v>
      </c>
      <c r="V34" s="5">
        <f>EXP(-Tabela2[[#This Row],[b]]/Tabela2[[#This Row],[a]])</f>
        <v>13.133244596971549</v>
      </c>
      <c r="W34" s="5">
        <f>1-EXP(-(('dane źródłowe'!$C$9/Tabela2[[#This Row],[η]])^Tabela2[[#This Row],[ß]]))</f>
        <v>0.31113507357990045</v>
      </c>
    </row>
    <row r="35" spans="1:23" x14ac:dyDescent="0.25">
      <c r="A35">
        <v>34</v>
      </c>
      <c r="B35" s="4">
        <v>25.26281208935611</v>
      </c>
      <c r="C35" s="2" t="s">
        <v>209</v>
      </c>
      <c r="D35" s="2" t="s">
        <v>48</v>
      </c>
      <c r="E35" s="2" t="s">
        <v>210</v>
      </c>
      <c r="F35" s="2" t="s">
        <v>211</v>
      </c>
      <c r="G35" s="2" t="s">
        <v>40</v>
      </c>
      <c r="H35" s="2" t="s">
        <v>212</v>
      </c>
      <c r="I35" s="2" t="s">
        <v>42</v>
      </c>
      <c r="J35" s="2" t="s">
        <v>43</v>
      </c>
      <c r="K35" s="2" t="s">
        <v>165</v>
      </c>
      <c r="L35" s="2" t="s">
        <v>45</v>
      </c>
      <c r="M35" s="2" t="s">
        <v>142</v>
      </c>
      <c r="N35" s="3">
        <v>-61.32667</v>
      </c>
      <c r="O35">
        <v>-1</v>
      </c>
      <c r="P35" s="5">
        <f>(Tabela2[[#This Row],[lp]]-0.3)/($A$37+0.4)</f>
        <v>0.92582417582417598</v>
      </c>
      <c r="Q35">
        <f>LN(Tabela2[[#This Row],[Czas do awarii Ti]])</f>
        <v>3.2293334365121589</v>
      </c>
      <c r="R35">
        <f>LN(-LN(1-Tabela2[[#This Row],[Empiryczne prawdopodobieństwo awarii (Fi)]]))</f>
        <v>0.95601785586920818</v>
      </c>
      <c r="S35">
        <v>1.022</v>
      </c>
      <c r="T35">
        <v>-2.6318000000000001</v>
      </c>
      <c r="U35">
        <f>Tabela2[[#This Row],[a]]</f>
        <v>1.022</v>
      </c>
      <c r="V35" s="5">
        <f>EXP(-Tabela2[[#This Row],[b]]/Tabela2[[#This Row],[a]])</f>
        <v>13.133244596971549</v>
      </c>
      <c r="W35" s="5">
        <f>1-EXP(-(('dane źródłowe'!$C$9/Tabela2[[#This Row],[η]])^Tabela2[[#This Row],[ß]]))</f>
        <v>0.31113507357990045</v>
      </c>
    </row>
    <row r="36" spans="1:23" x14ac:dyDescent="0.25">
      <c r="A36">
        <v>35</v>
      </c>
      <c r="B36" s="4">
        <v>25.854139290407357</v>
      </c>
      <c r="C36" s="2" t="s">
        <v>143</v>
      </c>
      <c r="D36" s="2" t="s">
        <v>127</v>
      </c>
      <c r="E36" s="2" t="s">
        <v>144</v>
      </c>
      <c r="F36" s="2" t="s">
        <v>145</v>
      </c>
      <c r="G36" s="2" t="s">
        <v>85</v>
      </c>
      <c r="H36" s="2" t="s">
        <v>146</v>
      </c>
      <c r="I36" s="2" t="s">
        <v>42</v>
      </c>
      <c r="J36" s="2" t="s">
        <v>43</v>
      </c>
      <c r="K36" s="2" t="s">
        <v>147</v>
      </c>
      <c r="L36" s="2" t="s">
        <v>45</v>
      </c>
      <c r="M36" s="2" t="s">
        <v>142</v>
      </c>
      <c r="N36" s="3">
        <v>-56.936669999999999</v>
      </c>
      <c r="O36">
        <v>-1</v>
      </c>
      <c r="P36" s="5">
        <f>(Tabela2[[#This Row],[lp]]-0.3)/($A$37+0.4)</f>
        <v>0.95329670329670346</v>
      </c>
      <c r="Q36">
        <f>LN(Tabela2[[#This Row],[Czas do awarii Ti]])</f>
        <v>3.2524707154239181</v>
      </c>
      <c r="R36">
        <f>LN(-LN(1-Tabela2[[#This Row],[Empiryczne prawdopodobieństwo awarii (Fi)]]))</f>
        <v>1.1197018403258845</v>
      </c>
      <c r="S36">
        <v>1.022</v>
      </c>
      <c r="T36">
        <v>-2.6318000000000001</v>
      </c>
      <c r="U36">
        <f>Tabela2[[#This Row],[a]]</f>
        <v>1.022</v>
      </c>
      <c r="V36" s="5">
        <f>EXP(-Tabela2[[#This Row],[b]]/Tabela2[[#This Row],[a]])</f>
        <v>13.133244596971549</v>
      </c>
      <c r="W36" s="5">
        <f>1-EXP(-(('dane źródłowe'!$C$9/Tabela2[[#This Row],[η]])^Tabela2[[#This Row],[ß]]))</f>
        <v>0.31113507357990045</v>
      </c>
    </row>
    <row r="37" spans="1:23" x14ac:dyDescent="0.25">
      <c r="A37">
        <v>36</v>
      </c>
      <c r="B37" s="4">
        <v>27.299605781865964</v>
      </c>
      <c r="C37" s="2" t="s">
        <v>187</v>
      </c>
      <c r="D37" s="2" t="s">
        <v>188</v>
      </c>
      <c r="E37" s="2" t="s">
        <v>189</v>
      </c>
      <c r="F37" s="2" t="s">
        <v>190</v>
      </c>
      <c r="G37" s="2" t="s">
        <v>70</v>
      </c>
      <c r="H37" s="2" t="s">
        <v>191</v>
      </c>
      <c r="I37" s="2" t="s">
        <v>42</v>
      </c>
      <c r="J37" s="2" t="s">
        <v>43</v>
      </c>
      <c r="K37" s="2" t="s">
        <v>153</v>
      </c>
      <c r="L37" s="2" t="s">
        <v>45</v>
      </c>
      <c r="M37" s="2" t="s">
        <v>142</v>
      </c>
      <c r="N37" s="3">
        <v>-52.385829999999999</v>
      </c>
      <c r="O37">
        <v>-1</v>
      </c>
      <c r="P37" s="5">
        <f>(Tabela2[[#This Row],[lp]]-0.3)/($A$37+0.4)</f>
        <v>0.98076923076923084</v>
      </c>
      <c r="Q37">
        <f>LN(Tabela2[[#This Row],[Czas do awarii Ti]])</f>
        <v>3.306872261861963</v>
      </c>
      <c r="R37">
        <f>LN(-LN(1-Tabela2[[#This Row],[Empiryczne prawdopodobieństwo awarii (Fi)]]))</f>
        <v>1.3740303948169568</v>
      </c>
      <c r="S37">
        <v>1.022</v>
      </c>
      <c r="T37">
        <v>-2.6318000000000001</v>
      </c>
      <c r="U37">
        <f>Tabela2[[#This Row],[a]]</f>
        <v>1.022</v>
      </c>
      <c r="V37" s="5">
        <f>EXP(-Tabela2[[#This Row],[b]]/Tabela2[[#This Row],[a]])</f>
        <v>13.133244596971549</v>
      </c>
      <c r="W37" s="5">
        <f>1-EXP(-(('dane źródłowe'!$C$9/Tabela2[[#This Row],[η]])^Tabela2[[#This Row],[ß]]))</f>
        <v>0.31113507357990045</v>
      </c>
    </row>
  </sheetData>
  <conditionalFormatting sqref="B1:B1048517">
    <cfRule type="cellIs" dxfId="0" priority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3AB71B891A2544DBD445D04ABE7886B" ma:contentTypeVersion="11" ma:contentTypeDescription="Utwórz nowy dokument." ma:contentTypeScope="" ma:versionID="323ef943dc9fb95ca33ee9e1c20c1484">
  <xsd:schema xmlns:xsd="http://www.w3.org/2001/XMLSchema" xmlns:xs="http://www.w3.org/2001/XMLSchema" xmlns:p="http://schemas.microsoft.com/office/2006/metadata/properties" xmlns:ns2="0d6c5dbd-25b1-4fbf-83f9-b289d7b111a0" xmlns:ns3="3fec9504-7640-4451-840c-8d09d21130e6" targetNamespace="http://schemas.microsoft.com/office/2006/metadata/properties" ma:root="true" ma:fieldsID="fa2476893f5436c76bf320e2ff6b1281" ns2:_="" ns3:_="">
    <xsd:import namespace="0d6c5dbd-25b1-4fbf-83f9-b289d7b111a0"/>
    <xsd:import namespace="3fec9504-7640-4451-840c-8d09d21130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c5dbd-25b1-4fbf-83f9-b289d7b111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9005f7d-55b1-4389-b300-40463b0fe7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c9504-7640-4451-840c-8d09d21130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531a35-64a5-4efe-873e-9e7dfdf4da20}" ma:internalName="TaxCatchAll" ma:showField="CatchAllData" ma:web="3fec9504-7640-4451-840c-8d09d21130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6c5dbd-25b1-4fbf-83f9-b289d7b111a0">
      <Terms xmlns="http://schemas.microsoft.com/office/infopath/2007/PartnerControls"/>
    </lcf76f155ced4ddcb4097134ff3c332f>
    <TaxCatchAll xmlns="3fec9504-7640-4451-840c-8d09d21130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7D9EEB-D65E-44A8-BCF5-7663D46C9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6c5dbd-25b1-4fbf-83f9-b289d7b111a0"/>
    <ds:schemaRef ds:uri="3fec9504-7640-4451-840c-8d09d21130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150075-143E-4EB1-BF6D-1F0C09ED3DE6}">
  <ds:schemaRefs>
    <ds:schemaRef ds:uri="http://schemas.microsoft.com/office/2006/metadata/properties"/>
    <ds:schemaRef ds:uri="http://schemas.microsoft.com/office/infopath/2007/PartnerControls"/>
    <ds:schemaRef ds:uri="0d6c5dbd-25b1-4fbf-83f9-b289d7b111a0"/>
    <ds:schemaRef ds:uri="3fec9504-7640-4451-840c-8d09d21130e6"/>
  </ds:schemaRefs>
</ds:datastoreItem>
</file>

<file path=customXml/itemProps3.xml><?xml version="1.0" encoding="utf-8"?>
<ds:datastoreItem xmlns:ds="http://schemas.openxmlformats.org/officeDocument/2006/customXml" ds:itemID="{1DFC4402-E35E-46FF-8848-81414920BC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źródła danych</vt:lpstr>
      <vt:lpstr>awarie</vt:lpstr>
      <vt:lpstr>dane źródłowe</vt:lpstr>
      <vt:lpstr>sprzedaż</vt:lpstr>
      <vt:lpstr>AGBP-09NXD0-I</vt:lpstr>
      <vt:lpstr>PCB w BLANC PRO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Marta Stawiarska</dc:creator>
  <cp:keywords/>
  <dc:description/>
  <cp:lastModifiedBy>Łukasz Wójcik</cp:lastModifiedBy>
  <cp:revision/>
  <dcterms:created xsi:type="dcterms:W3CDTF">2025-07-23T10:14:03Z</dcterms:created>
  <dcterms:modified xsi:type="dcterms:W3CDTF">2025-08-19T12:10:33Z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0x01010053AB71B891A2544DBD445D04ABE7886B</vt:lpwstr>
  </property>
  <property fmtid="{D5CDD505-2E9C-101B-9397-08002B2CF9AE}" pid="3" name="MediaServiceImageTags">
    <vt:lpwstr/>
  </property>
</Properties>
</file>